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list Pipeline" sheetId="1" r:id="rId1"/>
  </sheets>
  <calcPr calcId="124519" fullCalcOnLoad="1"/>
</workbook>
</file>

<file path=xl/sharedStrings.xml><?xml version="1.0" encoding="utf-8"?>
<sst xmlns="http://schemas.openxmlformats.org/spreadsheetml/2006/main" count="963" uniqueCount="587">
  <si>
    <t>INTENT LEADNET - VERIFIED FLORIDA DBPR &amp; SUNBIZ HITLIST</t>
  </si>
  <si>
    <t>QUALIFIED PROSPECTS</t>
  </si>
  <si>
    <t>TIER A SWEET SPOT</t>
  </si>
  <si>
    <t>DEMOS BOOKED</t>
  </si>
  <si>
    <t>CALLS MADE</t>
  </si>
  <si>
    <t>ACTIVE PIPELINE</t>
  </si>
  <si>
    <t>Status</t>
  </si>
  <si>
    <t>Priority Tier</t>
  </si>
  <si>
    <t>Company Name</t>
  </si>
  <si>
    <t>Trade</t>
  </si>
  <si>
    <t>City / Metro</t>
  </si>
  <si>
    <t>Store / Operating Hours</t>
  </si>
  <si>
    <t>Verified Licensee / Owner (DBPR &amp; Sunbiz)</t>
  </si>
  <si>
    <t>State License # (CAC / CFC / CMC)</t>
  </si>
  <si>
    <t>Direct / Cell Phone</t>
  </si>
  <si>
    <t>Office / LSA Phone</t>
  </si>
  <si>
    <t>Email</t>
  </si>
  <si>
    <t>Website</t>
  </si>
  <si>
    <t>Running Google Ads?</t>
  </si>
  <si>
    <t>Google Rating / Reviews</t>
  </si>
  <si>
    <t>Speed to Lead Hook / Paid Ad Pain Point</t>
  </si>
  <si>
    <t>Dial 1 Outcome</t>
  </si>
  <si>
    <t>Dial 2 Outcome</t>
  </si>
  <si>
    <t>Demo Booked Date</t>
  </si>
  <si>
    <t>Est. System Value</t>
  </si>
  <si>
    <t>Notes / Next Action</t>
  </si>
  <si>
    <t>Not Contacted</t>
  </si>
  <si>
    <t>A - High (Sweet Spot / Fast Conversion)</t>
  </si>
  <si>
    <t>English Air Inc.</t>
  </si>
  <si>
    <t>HVAC</t>
  </si>
  <si>
    <t>Orlando, FL</t>
  </si>
  <si>
    <t>Closes 6:00 PM</t>
  </si>
  <si>
    <t>Anton O. Martin (President / Primary Qualifier)</t>
  </si>
  <si>
    <t>CMC1249480</t>
  </si>
  <si>
    <t>(407) 468-7808</t>
  </si>
  <si>
    <t>info@englishairinc.com</t>
  </si>
  <si>
    <t>https://englishairinc.com</t>
  </si>
  <si>
    <t>Yes (Sponsored)</t>
  </si>
  <si>
    <t>4.8 (416 reviews)</t>
  </si>
  <si>
    <t>Running Google sponsored ads. Closes 6 PM daily. Misses emergency evening calls while paying top CPC for ad clicks.</t>
  </si>
  <si>
    <t>$8,000</t>
  </si>
  <si>
    <t>Ask for Anton Martin: 'Hey Anton, saw your sponsored Google ad in Orlando—we turn your after-6pm missed calls into booked morning jobs.'</t>
  </si>
  <si>
    <t>Air Care (Air Care Heating &amp; Cooling)</t>
  </si>
  <si>
    <t>Longwood / Orlando, FL</t>
  </si>
  <si>
    <t>Closes 8:00 PM</t>
  </si>
  <si>
    <t>Ian Chaves (Manager) / Joseph P. Cacioppo</t>
  </si>
  <si>
    <t>CAC1819812</t>
  </si>
  <si>
    <t>(407) 479-7197</t>
  </si>
  <si>
    <t>service@aircarecentralfl.com</t>
  </si>
  <si>
    <t>https://aircarecentralfl.com</t>
  </si>
  <si>
    <t>4.8 (225 reviews)</t>
  </si>
  <si>
    <t>Sponsored Google ad running. Closes at 8 PM. Unanswered late-night emergency replacement calls bleed to competitors.</t>
  </si>
  <si>
    <t>$7,500</t>
  </si>
  <si>
    <t>Ask for Ian Chaves: 'Hey Ian, regarding your sponsored ad—we catch every missed dial within 3 seconds with an instant priority intake.'</t>
  </si>
  <si>
    <t>Elevate Air Conditioning &amp; Heating LLC</t>
  </si>
  <si>
    <t>Apopka, FL</t>
  </si>
  <si>
    <t>Open 24 Hours</t>
  </si>
  <si>
    <t>Shelby Martin (Manager) / Nick Fleshman</t>
  </si>
  <si>
    <t>CAC1822450</t>
  </si>
  <si>
    <t>(407) 974-6494</t>
  </si>
  <si>
    <t>info@elevateairfl.com</t>
  </si>
  <si>
    <t>https://elevateairfl.com</t>
  </si>
  <si>
    <t>Yes</t>
  </si>
  <si>
    <t>4.9 (250 reviews)</t>
  </si>
  <si>
    <t>7+ years in business, 24/7 service. Peak dispatch call overflow needs instant customer recovery before they call the next listing.</t>
  </si>
  <si>
    <t>Ask for Shelby or Nick: 'Hey Shelby, we help Apopka contractors lock down emergency AC replacements in under 3 seconds.'</t>
  </si>
  <si>
    <t>AC2 HVAC Services Inc</t>
  </si>
  <si>
    <t>Closes 5:00 PM</t>
  </si>
  <si>
    <t>Justin R. Smith (President) / Rosa M. Cortes (VP)</t>
  </si>
  <si>
    <t>CAC1821815</t>
  </si>
  <si>
    <t>(407) 561-7036</t>
  </si>
  <si>
    <t>service@ac2hvac.com</t>
  </si>
  <si>
    <t>https://ac2hvac.com</t>
  </si>
  <si>
    <t>4.9 (396 reviews)</t>
  </si>
  <si>
    <t>5+ years in business. Closes 5 PM daily. Homeowners calling between 5 PM and 9 PM currently receive voicemail instead of instant text.</t>
  </si>
  <si>
    <t>Ask for Justin Smith: 'Hey Justin, saw you close at 5 PM in Apopka—we capture all your evening emergency HVAC calls automatically.'</t>
  </si>
  <si>
    <t>K&amp;E A/C and Refrigeration, Inc.</t>
  </si>
  <si>
    <t>HVAC / Refrigeration</t>
  </si>
  <si>
    <t>Closes 10:00 PM</t>
  </si>
  <si>
    <t>Kevin O'Neill / Edwin Ortiz (Qualifiers)</t>
  </si>
  <si>
    <t>CAC1821597</t>
  </si>
  <si>
    <t>(407) 232-5112</t>
  </si>
  <si>
    <t>info@kandeac.com</t>
  </si>
  <si>
    <t>https://www.kandeac.com</t>
  </si>
  <si>
    <t>5.0 (275 reviews)</t>
  </si>
  <si>
    <t>5.0 rating with 275 reviews. High growth shop prime for RevSurge database reactivation and instant missed-call safety net.</t>
  </si>
  <si>
    <t>Ask for Kevin or Edwin: 'Hey Kevin, you have 275 5-star reviews—we can reactivate your past customer database into $20k+ in tune-up swaps.'</t>
  </si>
  <si>
    <t>Complete Air Solutions LLC</t>
  </si>
  <si>
    <t>Closes 7:00 PM</t>
  </si>
  <si>
    <t>Antonio Rivera (Owner) / Jacklyn Aviles-Rivera</t>
  </si>
  <si>
    <t>CAC1814761</t>
  </si>
  <si>
    <t>(321) 207-6394</t>
  </si>
  <si>
    <t>info@completeairsolutionsfl.com</t>
  </si>
  <si>
    <t>https://completeairsolutionsfl.com</t>
  </si>
  <si>
    <t>4.9 (413 reviews)</t>
  </si>
  <si>
    <t>10+ years in business. Closes 7 PM. Automated text back captures after-hours quote requests and emergency service calls.</t>
  </si>
  <si>
    <t>Ask for Antonio Rivera: 'Hey Antonio, pitch instant missed-call recovery for your Apopka service territory.'</t>
  </si>
  <si>
    <t>ACR Air Conditioning &amp; Refrigeration</t>
  </si>
  <si>
    <t>Mark R. Ruggiero / Frank Ruggiero (Qualifiers)</t>
  </si>
  <si>
    <t>CAC058474</t>
  </si>
  <si>
    <t>(407) 449-8679</t>
  </si>
  <si>
    <t>service@callacr.com</t>
  </si>
  <si>
    <t>https://callacr.com</t>
  </si>
  <si>
    <t>4.9 (871 reviews)</t>
  </si>
  <si>
    <t>40+ years in business, 871 reviews. 24/7 emergency dispatch—instant tech alert + intake routing saves CSR overhead.</t>
  </si>
  <si>
    <t>$8,500</t>
  </si>
  <si>
    <t>Ask for Mark Ruggiero: 'Hey Mark, with your call volume, our LiveWire tech alert system catches 10-15 dropped leads a week.'</t>
  </si>
  <si>
    <t>All-Star Heating and Air Conditioning LLC</t>
  </si>
  <si>
    <t>Javier Rosado / Carlos Rosado (Owners / Qualifiers)</t>
  </si>
  <si>
    <t>CAC1820980</t>
  </si>
  <si>
    <t>(352) 638-3075</t>
  </si>
  <si>
    <t>service@allstarhvacfl.com</t>
  </si>
  <si>
    <t>https://allstarhvacfl.com</t>
  </si>
  <si>
    <t>4.9 (96 reviews)</t>
  </si>
  <si>
    <t>Closes 6 PM. Sweet-spot owner operator (96 reviews). Needs review boost to cross 200+ &amp; missed-call capture.</t>
  </si>
  <si>
    <t>$6,500</t>
  </si>
  <si>
    <t>Ask for Javier: Pitch automatic Google Review generation + sub-3-second missed-call text back.</t>
  </si>
  <si>
    <t>AC's Heating &amp; Air LLC</t>
  </si>
  <si>
    <t>Apopka / Orlando, FL</t>
  </si>
  <si>
    <t>Allen H. Chennault (President / Qualifier)</t>
  </si>
  <si>
    <t>CAC1818233</t>
  </si>
  <si>
    <t>(407) 440-0105</t>
  </si>
  <si>
    <t>service@callacs.com</t>
  </si>
  <si>
    <t>https://callacs.com</t>
  </si>
  <si>
    <t>4.8 (115 reviews)</t>
  </si>
  <si>
    <t>10+ years in business. 24/7 service. Open LSA advertiser losing ad clicks on busy signals when lines are tied up.</t>
  </si>
  <si>
    <t>$7,000</t>
  </si>
  <si>
    <t>Ask for Allen Chennault: 'Hey Allen, we help 24/7 HVAC owners catch callers who hang up when the phone is busy.'</t>
  </si>
  <si>
    <t>Gatekeeper / Callback</t>
  </si>
  <si>
    <t>One Stop Air Mechanical</t>
  </si>
  <si>
    <t>Sergio Rosas (President / Owner)</t>
  </si>
  <si>
    <t>CAC1821045</t>
  </si>
  <si>
    <t>(689) 331-0895</t>
  </si>
  <si>
    <t>service@onestopairmechanical.com</t>
  </si>
  <si>
    <t>https://www.onestopairmechanical.com</t>
  </si>
  <si>
    <t>5.0 (21 reviews)</t>
  </si>
  <si>
    <t>20+ reviews, active Google ads. Fast-growing shop needing automated speed-to-lead.</t>
  </si>
  <si>
    <t>Called 8/22: Gatekeeper took message, said she'd pass to Sergio/boss. 24h passed with no callback.</t>
  </si>
  <si>
    <t>$6,000</t>
  </si>
  <si>
    <t>FOLLOW UP: 'Hey, checking back in for Sergio on that emergency text setup before I close the file.'</t>
  </si>
  <si>
    <t>Blue Star Air Conditioning LLC</t>
  </si>
  <si>
    <t>Longwood, FL</t>
  </si>
  <si>
    <t>Closes 6:30 PM</t>
  </si>
  <si>
    <t>Sanjay Baburao Patange (Primary Qualifier / Manager)</t>
  </si>
  <si>
    <t>CAC1816033</t>
  </si>
  <si>
    <t>(321) 204-0794</t>
  </si>
  <si>
    <t>info@bluestarairfl.com</t>
  </si>
  <si>
    <t>https://bluestarairfl.com</t>
  </si>
  <si>
    <t>4.9 (698 reviews)</t>
  </si>
  <si>
    <t>Closes 6:30 PM. 15+ years in business. High ad spend across Seminole/Orange County. Recovers abandoned ad clicks.</t>
  </si>
  <si>
    <t>Ask for Sanjay Patange: 'Hey Sanjay, saw your Longwood team running ads—we stop paid lead bleed with instant 3-second text recovery.'</t>
  </si>
  <si>
    <t>Nicks Air Conditioning &amp; Heating</t>
  </si>
  <si>
    <t>Nickolas M. Ramos (Owner / Primary Qualifier)</t>
  </si>
  <si>
    <t>CAC1817219</t>
  </si>
  <si>
    <t>(407) 489-5060</t>
  </si>
  <si>
    <t>service@nicksacandheat.com</t>
  </si>
  <si>
    <t>https://www.nicksacandheat.com</t>
  </si>
  <si>
    <t>4.7 (187 reviews)</t>
  </si>
  <si>
    <t>Closes 5 PM. 38+ years trade experience. Emergency weekend/evening calls go straight to voicemail.</t>
  </si>
  <si>
    <t>Ask for Nick Ramos: 'Hey Nick, we turn after-hours voicemails in Apopka into signed emergency changeouts before morning.'</t>
  </si>
  <si>
    <t>Cee Bee Air Systems, Inc</t>
  </si>
  <si>
    <t>Phillip A. Blodgett (President / Primary Qualifier)</t>
  </si>
  <si>
    <t>CAC039747</t>
  </si>
  <si>
    <t>(407) 886-7046</t>
  </si>
  <si>
    <t>(407) 886-5960</t>
  </si>
  <si>
    <t>info@ceebeeair.com</t>
  </si>
  <si>
    <t>https://ceebeeair.com</t>
  </si>
  <si>
    <t>Closes 5 PM. 45+ years legacy brand. After-hours callers praised callback—automate that in 3 seconds.</t>
  </si>
  <si>
    <t>Ask for Phillip Blodgett: 'Hey Phillip, saw your customer reviews praising your after-hours callbacks—we automate that instantly.'</t>
  </si>
  <si>
    <t>All Star Heating and Cooling of Central Florida, LLC</t>
  </si>
  <si>
    <t>Mt Dora, FL</t>
  </si>
  <si>
    <t>David M. Rivera / William Rodriguez (Managers)</t>
  </si>
  <si>
    <t>CAC1816824</t>
  </si>
  <si>
    <t>(407) 255-7827</t>
  </si>
  <si>
    <t>office@allstarcentralflorida.com</t>
  </si>
  <si>
    <t>https://allstarcentralflorida.com</t>
  </si>
  <si>
    <t>4.8 (249 reviews)</t>
  </si>
  <si>
    <t>Closes 5 PM. 10+ years in business. Strong Lake County coverage missing late afternoon emergency dials.</t>
  </si>
  <si>
    <t>Ask for David Rivera: 'Hey David, we capture Lake County emergency AC replacements that call after 5 PM.'</t>
  </si>
  <si>
    <t>D-Air solutions</t>
  </si>
  <si>
    <t>HVAC / Repair</t>
  </si>
  <si>
    <t>Danilo De Souza (Owner / Operator)</t>
  </si>
  <si>
    <t>CAC1823104</t>
  </si>
  <si>
    <t>(929) 530-4739</t>
  </si>
  <si>
    <t>contact@d-airsolutions.com</t>
  </si>
  <si>
    <t>https://d-airsolutions.com</t>
  </si>
  <si>
    <t>5.0 (13 reviews)</t>
  </si>
  <si>
    <t>24/7 service. Brand new 5.0-star operation. Needs review automation + instant missed-call capture.</t>
  </si>
  <si>
    <t>$5,500</t>
  </si>
  <si>
    <t>Ask for Danilo: 'Hey Danilo, we help new 5-star AC companies in Apopka scale their review volume and catch every caller.'</t>
  </si>
  <si>
    <t>Orlando HVAC Air Conditioning</t>
  </si>
  <si>
    <t>Robert L. Miller (Primary Qualifier)</t>
  </si>
  <si>
    <t>CAC1815120</t>
  </si>
  <si>
    <t>(689) 698-5010</t>
  </si>
  <si>
    <t>info@orlandohvacfl.com</t>
  </si>
  <si>
    <t>https://orlandohvacfl.com</t>
  </si>
  <si>
    <t>4.9 (239 reviews)</t>
  </si>
  <si>
    <t>Closes 8 PM. 40+ years in trade. Prime candidate for customer database reactivation special.</t>
  </si>
  <si>
    <t>Ask for Robert: 'Hey Robert, we extract $15k–$25k in booked maintenance from past Orlando customer databases.'</t>
  </si>
  <si>
    <t>Allen's Refrigeration &amp; Air Conditioning Service, Inc.</t>
  </si>
  <si>
    <t>Brandon A. Hamlin (President) / Bradley A. Hamlin (VP)</t>
  </si>
  <si>
    <t>CAC1814675</t>
  </si>
  <si>
    <t>(352) 383-4998</t>
  </si>
  <si>
    <t>(407) 889-2021</t>
  </si>
  <si>
    <t>service@allens-ac.com</t>
  </si>
  <si>
    <t>https://allens-ac.com</t>
  </si>
  <si>
    <t>5.0 (810 reviews)</t>
  </si>
  <si>
    <t>Closes 5 PM. 810 5-star reviews. Massive past customer base ready for RevSurge seasonal AC maintenance drips.</t>
  </si>
  <si>
    <t>$9,000</t>
  </si>
  <si>
    <t>Ask for Brandon or Bradley Hamlin: 'Hey Brandon, you have 800+ 5-star reviews—we can launch a safe 10DLC reactivation campaign to your list.'</t>
  </si>
  <si>
    <t>Justice Air Conditioning Repair LLC</t>
  </si>
  <si>
    <t>Brad Justice (Owner / Qualifying Contractor)</t>
  </si>
  <si>
    <t>CAC1817540</t>
  </si>
  <si>
    <t>(407) 907-2110</t>
  </si>
  <si>
    <t>brad@justiceairconditioning.com</t>
  </si>
  <si>
    <t>https://justiceairconditioning.com</t>
  </si>
  <si>
    <t>5.0 (545 reviews)</t>
  </si>
  <si>
    <t>Closes 5 PM. 545 reviews. Carrier factory trained background. Needs evening call capture &amp; dispatch alert.</t>
  </si>
  <si>
    <t>Ask for Brad Justice: 'Hey Brad, saw you close at 5 in Longwood—we catch all after-hours Carrier changeout inquiries instantly.'</t>
  </si>
  <si>
    <t>TIKI 24/7 Heating and Air Conditioning (by Wilco AC)</t>
  </si>
  <si>
    <t>Longwood / Sanford, FL</t>
  </si>
  <si>
    <t>Wilson E. Correa (President / Qualifier)</t>
  </si>
  <si>
    <t>CAC1819665</t>
  </si>
  <si>
    <t>(407) 302-2982</t>
  </si>
  <si>
    <t>info@wilcohvac.com</t>
  </si>
  <si>
    <t>https://wilcohvac.com</t>
  </si>
  <si>
    <t>5.0 (44 reviews)</t>
  </si>
  <si>
    <t>Sponsored Google ad. 24/7 family-owned. Paying per click on Google while competitors steal missed calls.</t>
  </si>
  <si>
    <t>Ask for Wilson Correa: 'Hey Wilson, saw your sponsored TIKI AC ad—we ensure every ad dollar results in an instant 3-second text.'</t>
  </si>
  <si>
    <t>Air Tech of Central Florida</t>
  </si>
  <si>
    <t>Craig C. Baker / Scott Baker (Qualifiers / Officers)</t>
  </si>
  <si>
    <t>CAC058473</t>
  </si>
  <si>
    <t>(321) 244-6998</t>
  </si>
  <si>
    <t>service@airtechfl.com</t>
  </si>
  <si>
    <t>https://airtechfl.com</t>
  </si>
  <si>
    <t>4.9 (946 reviews)</t>
  </si>
  <si>
    <t>Closes 10 PM. 25+ years in business. 946 reviews. Ideal mid-tier shop with heavy phone volume.</t>
  </si>
  <si>
    <t>$9,500</t>
  </si>
  <si>
    <t>Ask for Craig or Scott: 'Hey Craig, with 900+ reviews in Longwood, our LiveWire system recovers $20k/mo in abandoned ad dials.'</t>
  </si>
  <si>
    <t>Nathan HVAC Contractors (Nath Air Plus LLC)</t>
  </si>
  <si>
    <t>Wekiwa Springs / Orlando, FL</t>
  </si>
  <si>
    <t>Yokaram Gopaul Nath (Owner / Primary Qualifier)</t>
  </si>
  <si>
    <t>CAC1820555</t>
  </si>
  <si>
    <t>(689) 331-8237</t>
  </si>
  <si>
    <t>info@nathairplus.com</t>
  </si>
  <si>
    <t>https://nathairplus.com</t>
  </si>
  <si>
    <t>5.0 (69 reviews)</t>
  </si>
  <si>
    <t>Closes 8 PM. 10+ years experience. Sweet spot operator needing instant priority intake link on missed calls.</t>
  </si>
  <si>
    <t>Ask for Yokaram Nath: 'Hey Yokaram, we help Wekiwa Springs HVAC operators catch missed emergency calls on the first ring.'</t>
  </si>
  <si>
    <t>Titan Air Conditioning &amp; Heating LLC</t>
  </si>
  <si>
    <t>Winter Garden, FL</t>
  </si>
  <si>
    <t>Jason Kyle Tiner (President / Qualifier)</t>
  </si>
  <si>
    <t>CAC1820353</t>
  </si>
  <si>
    <t>(407) 296-9622</t>
  </si>
  <si>
    <t>service@titanairconditioningandheating.com</t>
  </si>
  <si>
    <t>https://titanairconditioningandheating.com</t>
  </si>
  <si>
    <t>4.9 (263 reviews)</t>
  </si>
  <si>
    <t>Closes 5 PM. 263 reviews. Same-day emergency claim. Recover high-ticket AC swap leads after 5 PM.</t>
  </si>
  <si>
    <t>Ask for Jason Tiner: 'Hey Jason, saw your same-day promise in Winter Garden—we catch after-5pm emergency replacements instantly.'</t>
  </si>
  <si>
    <t>Sky Air LLC</t>
  </si>
  <si>
    <t>Winter Park, FL</t>
  </si>
  <si>
    <t>John Perez (Manager / Owner)</t>
  </si>
  <si>
    <t>CAC1817429</t>
  </si>
  <si>
    <t>(407) 622-1725</t>
  </si>
  <si>
    <t>info@skyairandheat.com</t>
  </si>
  <si>
    <t>https://skyairandheat.com</t>
  </si>
  <si>
    <t>4.9 (63 reviews)</t>
  </si>
  <si>
    <t>Closes 5 PM. 10+ years in trade. High response speed focus—LeadNet gives him sub-3-second automated intake.</t>
  </si>
  <si>
    <t>Ask for John Perez: 'Hey John, saw you service Winter Park and Orlando—we make your emergency text response under 3 seconds.'</t>
  </si>
  <si>
    <t>Benzah Vent Cleaning LLC (Benzah Services)</t>
  </si>
  <si>
    <t>HVAC / Duct Cleaning</t>
  </si>
  <si>
    <t>Anthony Gomez (Manager / Owner)</t>
  </si>
  <si>
    <t>CAC1822180</t>
  </si>
  <si>
    <t>(407) 865-3295</t>
  </si>
  <si>
    <t>customercare@benzahdvc.com</t>
  </si>
  <si>
    <t>https://benzahdvc.com</t>
  </si>
  <si>
    <t>4.9 (252 reviews)</t>
  </si>
  <si>
    <t>24/7 service. Cross-sells duct cleaning &amp; AC replacement. Drip reactivation will yield $15k+ from past duct customers.</t>
  </si>
  <si>
    <t>Ask for Anthony Gomez: 'Hey Anthony, we can reactivate your past duct cleaning customer list into booked AC tune-up changeouts.'</t>
  </si>
  <si>
    <t>B - Medium (Commercial / Multi-Tech)</t>
  </si>
  <si>
    <t>ISS Mechanical</t>
  </si>
  <si>
    <t>HVAC / Mechanical / Plumbing</t>
  </si>
  <si>
    <t>Richard A. Bodwell (Owner / President)</t>
  </si>
  <si>
    <t>CMC1250294</t>
  </si>
  <si>
    <t>(813) 283-2545</t>
  </si>
  <si>
    <t>(407) 880-9999</t>
  </si>
  <si>
    <t>info@issmechanical.com</t>
  </si>
  <si>
    <t>https://issmechanical.com</t>
  </si>
  <si>
    <t>4.4 (22 reviews)</t>
  </si>
  <si>
    <t>Closes 5 PM. Commercial &amp; high-end residential mechanical. High ticket replacements ($12k+ avg).</t>
  </si>
  <si>
    <t>$12,000</t>
  </si>
  <si>
    <t>Ask for Richard Bodwell: 'Hey Richard, our LiveWire module provides real-time emergency tech alerts for commercial accounts.'</t>
  </si>
  <si>
    <t>Team Air Conditioning &amp; Heating Inc.</t>
  </si>
  <si>
    <t>Sorrento / Ocoee, FL</t>
  </si>
  <si>
    <t>Hollis L. Hamilton (President / Primary Qualifier)</t>
  </si>
  <si>
    <t>CAC1814640</t>
  </si>
  <si>
    <t>(407) 395-3031</t>
  </si>
  <si>
    <t>info@teamairconditioning.com</t>
  </si>
  <si>
    <t>https://teamairconditioning.com</t>
  </si>
  <si>
    <t>4.8 (165 reviews)</t>
  </si>
  <si>
    <t>Closes 7 PM. Lake &amp; Orange County contractor. Missed calls go unmonitored during evening installs.</t>
  </si>
  <si>
    <t>Ask for Hollis: 'Hey Hollis, we help Sorrento and Ocoee contractors capture emergency calls while techs are on ladders.'</t>
  </si>
  <si>
    <t>ASR Services - Heating &amp; Air Conditioning</t>
  </si>
  <si>
    <t>Ocoee, FL</t>
  </si>
  <si>
    <t>Garth Johnson (Founder) / Javon Johnson (VP)</t>
  </si>
  <si>
    <t>CAC1821996</t>
  </si>
  <si>
    <t>(321) 450-7491</t>
  </si>
  <si>
    <t>(407) 905-3660</t>
  </si>
  <si>
    <t>info@asrhvacservices.com</t>
  </si>
  <si>
    <t>https://asrhvacservices.com</t>
  </si>
  <si>
    <t>5.0 (191 reviews)</t>
  </si>
  <si>
    <t>Closes 5 PM. 20+ years family-owned. Rapid response pitch to lock in first-slot morning appointments.</t>
  </si>
  <si>
    <t>Ask for Javon Johnson: 'Hey Javon, saw your 5-star team in Ocoee—we help you lock in morning first-slot jobs from evening missed calls.'</t>
  </si>
  <si>
    <t>AmeriTech Air Conditioning and Heating</t>
  </si>
  <si>
    <t>Brian T. Novotny (President / Qualifier)</t>
  </si>
  <si>
    <t>CAC1816358</t>
  </si>
  <si>
    <t>(407) 532-8000</t>
  </si>
  <si>
    <t>service@ameritechac.com</t>
  </si>
  <si>
    <t>https://ameritechac.com</t>
  </si>
  <si>
    <t>4.6 (506 reviews)</t>
  </si>
  <si>
    <t>Closes 7 PM. 15+ years in business. 506 reviews. Boost review score to 4.8+ and stop missed ad call leak.</t>
  </si>
  <si>
    <t>Ask for Brian Novotny: 'Hey Brian, we combine automated 5-star Google review collection with instant missed call text-back.'</t>
  </si>
  <si>
    <t>All Cool Heat Plumbing &amp; General Contractor Inc</t>
  </si>
  <si>
    <t>HVAC / Plumbing / GC</t>
  </si>
  <si>
    <t>Jorge L. Rodriguez (President / Triple License Qualifier)</t>
  </si>
  <si>
    <t>CAC1814990</t>
  </si>
  <si>
    <t>(407) 461-0301</t>
  </si>
  <si>
    <t>contact@certifiedquality.org</t>
  </si>
  <si>
    <t>https://www.certifiedquality.org</t>
  </si>
  <si>
    <t>4.5 (28 reviews)</t>
  </si>
  <si>
    <t>24/7 service. Multi-trade operator. Triple revenue potential across HVAC, plumbing, and tenant buildout.</t>
  </si>
  <si>
    <t>Ask for Jorge Rodriguez: 'Hey Jorge, we capture emergency plumbing and AC inquiries across Apopka with custom trade routing.'</t>
  </si>
  <si>
    <t>Apopka Heating And Air Conditioning Repair Service</t>
  </si>
  <si>
    <t>Closes 9:00 PM</t>
  </si>
  <si>
    <t>Eric D. Gonzalez (Manager / Qualifier)</t>
  </si>
  <si>
    <t>CAC1819512</t>
  </si>
  <si>
    <t>(407) 565-2545</t>
  </si>
  <si>
    <t>info@apopkaheatandair.com</t>
  </si>
  <si>
    <t>https://apopkaheatandair.com</t>
  </si>
  <si>
    <t>3.3 (14 reviews)</t>
  </si>
  <si>
    <t>Closes 9 PM. 3.3 rating is killing conversion on search. Needs automated 5-star Google review drip module.</t>
  </si>
  <si>
    <t>Ask for Eric: 'Hey Eric, we can get your Google rating from 3.3 to 4.5+ using automated review requests after service.'</t>
  </si>
  <si>
    <t>Cuban Air Conditioning &amp; Heating LLC</t>
  </si>
  <si>
    <t>Altamonte Springs, FL</t>
  </si>
  <si>
    <t>Eduardo 'Eddy' Hernandez (Manager / Lead Qualifier)</t>
  </si>
  <si>
    <t>CAC1822814</t>
  </si>
  <si>
    <t>(786) 602-8246</t>
  </si>
  <si>
    <t>service@cubanairconditioning.com</t>
  </si>
  <si>
    <t>https://cubanairconditioning.com</t>
  </si>
  <si>
    <t>5.0 (110 reviews)</t>
  </si>
  <si>
    <t>Closes 10 PM. 110 5-star reviews. High personal responsiveness—LeadNet secures his speed-to-lead advantage.</t>
  </si>
  <si>
    <t>Ask for Eddy: 'Oye Eddy, saw your 110 5-star reviews in Altamonte—we make sure you never miss an emergency AC client.'</t>
  </si>
  <si>
    <t>Summit Peak HVAC Solutions</t>
  </si>
  <si>
    <t>Orlando / Apopka, FL</t>
  </si>
  <si>
    <t>Brandon M. Clark (Owner / Qualifier)</t>
  </si>
  <si>
    <t>CAC1823410</t>
  </si>
  <si>
    <t>(929) 662-6047</t>
  </si>
  <si>
    <t>info@summitpeakhvac.com</t>
  </si>
  <si>
    <t>https://summitpeakhvac.com</t>
  </si>
  <si>
    <t>4.8 (16 reviews)</t>
  </si>
  <si>
    <t>24/7 emergency response. Early stage shop needing automated client intake and review acceleration.</t>
  </si>
  <si>
    <t>Ask for Brandon Clark: Pitch automated priority intake form + 3-second missed call rescue.</t>
  </si>
  <si>
    <t>Certified AC Services (Certified Mechanical Co)</t>
  </si>
  <si>
    <t>Michael J. Peters (Primary Qualifier / President)</t>
  </si>
  <si>
    <t>CAC1816190</t>
  </si>
  <si>
    <t>(407) 294-6324</t>
  </si>
  <si>
    <t>info@certifiedacservicesfl.com</t>
  </si>
  <si>
    <t>https://certifiedacservicesfl.com</t>
  </si>
  <si>
    <t>4.5 (24 reviews)</t>
  </si>
  <si>
    <t>Closes 5 PM. 15+ years in business. Small crew losing late afternoon homeowner calls.</t>
  </si>
  <si>
    <t>Ask for Michael Peters: 'Hey Michael, we capture emergency HVAC inquiries in Apopka when your phone goes to voicemail after 5.'</t>
  </si>
  <si>
    <t>Josko Services (Josko LLC)</t>
  </si>
  <si>
    <t>HVAC / Multi-Trade</t>
  </si>
  <si>
    <t>Carlos Rivera (President) / Chris Risi (GM)</t>
  </si>
  <si>
    <t>CAC1819201</t>
  </si>
  <si>
    <t>(407) 807-0337</t>
  </si>
  <si>
    <t>info@joskoservices.com</t>
  </si>
  <si>
    <t>https://joskoservices.com</t>
  </si>
  <si>
    <t>4.5 (436 reviews)</t>
  </si>
  <si>
    <t>24/7 service. 436 reviews across I-4 corridor. Tech dispatch routing and automated booking intake.</t>
  </si>
  <si>
    <t>Ask for Carlos Rivera or Chris Risi: 'Hey Chris, our LiveWire dashboard routes emergency calls directly to on-call techs.'</t>
  </si>
  <si>
    <t>Sky AC Repair Apopka</t>
  </si>
  <si>
    <t>Jorge A. Santana (Owner / Operator)</t>
  </si>
  <si>
    <t>CAC1824102</t>
  </si>
  <si>
    <t>(689) 910-1029</t>
  </si>
  <si>
    <t>service@skyacapopka.com</t>
  </si>
  <si>
    <t>https://skyacapopka.com</t>
  </si>
  <si>
    <t>5.0 (2 reviews)</t>
  </si>
  <si>
    <t>24/7 service. Brand new local operator needing instant missed-call capture and review generation.</t>
  </si>
  <si>
    <t>$5,000</t>
  </si>
  <si>
    <t>Ask for Jorge: 'Hey Jorge, we help new HVAC owners in Apopka automatically collect 5-star Google reviews after every job.'</t>
  </si>
  <si>
    <t>JD'S Heating &amp; Air Conditioning Inc.</t>
  </si>
  <si>
    <t>Casselberry, FL</t>
  </si>
  <si>
    <t>Michael Charles Tenda (Primary Qualifier / President)</t>
  </si>
  <si>
    <t>CAC1813459</t>
  </si>
  <si>
    <t>(407) 699-9530</t>
  </si>
  <si>
    <t>service@jdsheatandair.com</t>
  </si>
  <si>
    <t>https://jdsheatandair.com</t>
  </si>
  <si>
    <t>4.9 (482 reviews)</t>
  </si>
  <si>
    <t>Closes 5 PM. 15+ years established name. 482 reviews. After-hours missed call capture.</t>
  </si>
  <si>
    <t>Ask for Michael Tenda: 'Hey Michael, saw you close at 5 in Casselberry—we catch all evening emergency system replacement calls.'</t>
  </si>
  <si>
    <t>Keeping it Cool HVAC LLC</t>
  </si>
  <si>
    <t>Winter Garden / Apopka, FL</t>
  </si>
  <si>
    <t>Ronaldo Guarionex Alcantara (Owner / Qualifier)</t>
  </si>
  <si>
    <t>CAC1822915</t>
  </si>
  <si>
    <t>(407) 401-8773</t>
  </si>
  <si>
    <t>contact@keepingitcoolhvac.com</t>
  </si>
  <si>
    <t>https://keepingitcoolhvac.com</t>
  </si>
  <si>
    <t>5.0 (126 reviews)</t>
  </si>
  <si>
    <t>24/7 service. 126 5-star reviews. Rapid response focus—convert on-call emergency inquiries instantly.</t>
  </si>
  <si>
    <t>Ask for Ronaldo: 'Hey Ronaldo, saw your 126 5-star reviews in Winter Garden—our system texts missed callers within 3 seconds.'</t>
  </si>
  <si>
    <t>Florida Longwood Air Conditioning And Heating</t>
  </si>
  <si>
    <t>David E. Harrison (Owner / Qualifier)</t>
  </si>
  <si>
    <t>CAC1821440</t>
  </si>
  <si>
    <t>(407) 809-3234</t>
  </si>
  <si>
    <t>info@longwoodflhvac.com</t>
  </si>
  <si>
    <t>https://longwoodflhvac.com</t>
  </si>
  <si>
    <t>5.0 (5 reviews)</t>
  </si>
  <si>
    <t>24/7 service. Local boutique shop needing automated speed-to-lead and review booster.</t>
  </si>
  <si>
    <t>Ask for David: Pitch instant text recovery + automatic Google review booster.</t>
  </si>
  <si>
    <t>Immaculate Air</t>
  </si>
  <si>
    <t>Nelson E. Hernandez (President / Qualifier)</t>
  </si>
  <si>
    <t>CAC1820885</t>
  </si>
  <si>
    <t>(321) 888-6121</t>
  </si>
  <si>
    <t>service@immaculateairfl.com</t>
  </si>
  <si>
    <t>https://immaculateairfl.com</t>
  </si>
  <si>
    <t>5.0 (12 reviews)</t>
  </si>
  <si>
    <t>24/7 service. 5-star reputation. Owner-operator sweet spot for high-touch automated booking.</t>
  </si>
  <si>
    <t>Ask for Nelson: Pitch after-hours priority intake form and instant text back.</t>
  </si>
  <si>
    <t>Cool It Air Conditioning Repair and Installation</t>
  </si>
  <si>
    <t>Zellwood / Apopka, FL</t>
  </si>
  <si>
    <t>Neil M. Condon (Manager / Qualifier)</t>
  </si>
  <si>
    <t>CAC1819342</t>
  </si>
  <si>
    <t>(954) 953-2947</t>
  </si>
  <si>
    <t>service@coolithvacfl.com</t>
  </si>
  <si>
    <t>https://coolithvacfl.com</t>
  </si>
  <si>
    <t>5.0 (47 reviews)</t>
  </si>
  <si>
    <t>24/7 service. 10+ years in trade. Sweet spot for missed-call recovery during hot afternoon calls.</t>
  </si>
  <si>
    <t>Ask for Neil Condon: 'Hey Neil, we help Zellwood/Apopka contractors catch emergency calls while they are on service jobs.'</t>
  </si>
  <si>
    <t>A.M.S. Cooling &amp; Heating LLC</t>
  </si>
  <si>
    <t>HVAC / Electrical</t>
  </si>
  <si>
    <t>Clermont / Central FL</t>
  </si>
  <si>
    <t>Christopher Brijbasu / Raul Sanchez (Managers / Qualifiers)</t>
  </si>
  <si>
    <t>CAC1822340</t>
  </si>
  <si>
    <t>(321) 527-6978</t>
  </si>
  <si>
    <t>info@amscoolingfl.com</t>
  </si>
  <si>
    <t>https://amscoolingfl.com</t>
  </si>
  <si>
    <t>5.0 (32 reviews)</t>
  </si>
  <si>
    <t>24/7 service. Dual HVAC + electrical services. Missed call text back recovers $8k+ system swaps.</t>
  </si>
  <si>
    <t>Ask for Christopher or Raul: 'Hey Raul, we help dual HVAC/electric contractors catch high-ticket emergency inquiries.'</t>
  </si>
  <si>
    <t>Frozen Air Cooling and Heating</t>
  </si>
  <si>
    <t>Alexander J. Vega (Owner / Qualifier)</t>
  </si>
  <si>
    <t>CAC1823790</t>
  </si>
  <si>
    <t>(689) 275-3663</t>
  </si>
  <si>
    <t>info@frozenairhvac.com</t>
  </si>
  <si>
    <t>https://frozenairhvac.com</t>
  </si>
  <si>
    <t>4.9 (29 reviews)</t>
  </si>
  <si>
    <t>Closes 6 PM. Fast-growing shop needing automated after-hours capture and review acceleration.</t>
  </si>
  <si>
    <t>Ask for Alexander Vega: 'Hey Alexander, saw you close at 6 in Orlando—we turn evening missed calls into booked morning jobs.'</t>
  </si>
  <si>
    <t>Scott's Heating &amp; Air Conditioning LLC</t>
  </si>
  <si>
    <t>Randolph Scott Moist (President / Primary Qualifier)</t>
  </si>
  <si>
    <t>CAC1816941</t>
  </si>
  <si>
    <t>(407) 513-4406</t>
  </si>
  <si>
    <t>service@scottsair.com</t>
  </si>
  <si>
    <t>https://scottsair.com</t>
  </si>
  <si>
    <t>4.7 (639 reviews)</t>
  </si>
  <si>
    <t>Closes 9 PM. 25+ years in business. 639 reviews. High ad spend across Seminole County.</t>
  </si>
  <si>
    <t>Ask for Scott Moist: 'Hey Scott, with 600+ reviews in Longwood, our LiveWire module catches callers who drop off on busy lines.'</t>
  </si>
  <si>
    <t>Swift Brothers Plumbing, Heating &amp; Air</t>
  </si>
  <si>
    <t>HVAC / Plumbing</t>
  </si>
  <si>
    <t>Eric Swift / Scott Swift (Managers)</t>
  </si>
  <si>
    <t>CAC1819230</t>
  </si>
  <si>
    <t>(407) 259-4320</t>
  </si>
  <si>
    <t>(844) 396-9662</t>
  </si>
  <si>
    <t>info@swiftbrothers.com</t>
  </si>
  <si>
    <t>https://swiftbrothers.com</t>
  </si>
  <si>
    <t>4.3 (220 reviews)</t>
  </si>
  <si>
    <t>24/7 service. 4.3 rating with active sponsored ads. Need review boost to climb to 4.8+ and missed-call safety net.</t>
  </si>
  <si>
    <t>Ask for Eric or Scott: 'Hey Eric, pitch review generation to push your rating from 4.3 to 4.8+ and stop missed ad call leak.'</t>
  </si>
  <si>
    <t>Enginair Air &amp; Refrigeration LLC</t>
  </si>
  <si>
    <t>Montverde, FL</t>
  </si>
  <si>
    <t>Jamie Gomperts (President) / Edward Gomperts Jr.</t>
  </si>
  <si>
    <t>CAC1820615</t>
  </si>
  <si>
    <t>(407) 544-2113</t>
  </si>
  <si>
    <t>service@enginairfl.com</t>
  </si>
  <si>
    <t>https://enginairfl.com</t>
  </si>
  <si>
    <t>4.9 (240 reviews)</t>
  </si>
  <si>
    <t>24/7 service. 7+ years in business. Full maintenance and replacement specialist in Lake County.</t>
  </si>
  <si>
    <t>Ask for Jamie Gomperts: 'Hey Jamie, we help Montverde and Lake County contractors lock down emergency AC calls immediately.'</t>
  </si>
  <si>
    <t>Diamond Air Conditioning And Heating LLC</t>
  </si>
  <si>
    <t>Samer Hassan / Samuel Coker (Authorized Members / Qualifiers)</t>
  </si>
  <si>
    <t>CAC1823992</t>
  </si>
  <si>
    <t>(689) 261-6914</t>
  </si>
  <si>
    <t>info@diamondairfl.com</t>
  </si>
  <si>
    <t>https://diamondairfl.com</t>
  </si>
  <si>
    <t>4.6 (247 reviews)</t>
  </si>
  <si>
    <t>Closes 5 PM. Active Google presence. Recapture evening and weekend emergency HVAC calls.</t>
  </si>
  <si>
    <t>Ask for Samer Hassan: 'Hey Samer, saw you close at 5 in Orlando—we capture all evening emergency replacement dials.'</t>
  </si>
  <si>
    <t>Heating &amp; Cooling | Mafer AC</t>
  </si>
  <si>
    <t>Luis Enrique Quintero (Owner / Certified Qualifier)</t>
  </si>
  <si>
    <t>CAC1822076</t>
  </si>
  <si>
    <t>(407) 632-3620</t>
  </si>
  <si>
    <t>contact@maferac.com</t>
  </si>
  <si>
    <t>https://maferac.com</t>
  </si>
  <si>
    <t>5.0 (405 reviews)</t>
  </si>
  <si>
    <t>Closes 6 PM. 5.0 rating with 405 reviews. 24-hr install turnaround promise—prime candidate for automated intake.</t>
  </si>
  <si>
    <t>Ask for Luis Quintero: 'Hey Luis, with 400 5-star reviews, our 3-second text-back locks down emergency AC changeouts instantly.'</t>
  </si>
  <si>
    <t>A/C HVAC and Air Conditioning Experts Orlando</t>
  </si>
  <si>
    <t>Carlos E. Mendez (Owner / Qualifier)</t>
  </si>
  <si>
    <t>CAC1819445</t>
  </si>
  <si>
    <t>(689) 208-4434</t>
  </si>
  <si>
    <t>info@orlandohvacexperts.com</t>
  </si>
  <si>
    <t>https://orlandohvacexperts.com</t>
  </si>
  <si>
    <t>5.0 (72 reviews)</t>
  </si>
  <si>
    <t>24/7 service. 15+ years in business. Sweet-spot owner operator with 72 5-star reviews.</t>
  </si>
  <si>
    <t>Ask for Carlos Mendez: 'Hey Carlos, we help Orlando HVAC operators catch every missed call while on job sites.'</t>
  </si>
  <si>
    <t>Kurt's AC &amp; Heat</t>
  </si>
  <si>
    <t>Tavares, FL</t>
  </si>
  <si>
    <t>Kurt E. Schneider (Owner / Primary Qualifier)</t>
  </si>
  <si>
    <t>CAC1815890</t>
  </si>
  <si>
    <t>(352) 343-1755</t>
  </si>
  <si>
    <t>info@kurtsacandheat.com</t>
  </si>
  <si>
    <t>https://www.kurtsacandheat.com</t>
  </si>
  <si>
    <t>4.9 (406 reviews)</t>
  </si>
  <si>
    <t>Closes 5 PM. 35+ years in business. 406 reviews. High past customer volume for seasonal RevSurge campaigns.</t>
  </si>
  <si>
    <t>Ask for Kurt Schneider: 'Hey Kurt, 35 years in Tavares means a huge customer list—our RevSurge engine turns that into $25k in booked tune-ups.'</t>
  </si>
  <si>
    <t>Top Tier Cooling</t>
  </si>
  <si>
    <t>Jayson Javier Castanon (Qualifier) / Keenan Harris (CEO)</t>
  </si>
  <si>
    <t>CAC1824593</t>
  </si>
  <si>
    <t>(407) 449-7333</t>
  </si>
  <si>
    <t>(407) 236-3582</t>
  </si>
  <si>
    <t>info@toptier-cooling.com</t>
  </si>
  <si>
    <t>https://toptier-cooling.com</t>
  </si>
  <si>
    <t>Running Google LSA ads. Claims 24/7 emergency service with 63 reviews. Perfect owner-operator candidate for instant missed-call capture.</t>
  </si>
  <si>
    <t>Ask for Jayson or Keenan: 'Hey Jayson, it's regarding your emergency text-back setup in Orlando.'</t>
  </si>
  <si>
    <t>Arctic Air Temp</t>
  </si>
  <si>
    <t>Orlando / Kissimmee, FL</t>
  </si>
  <si>
    <t>Fayfat Dias (Primary Licensee / Owner)</t>
  </si>
  <si>
    <t>CAC1822832 / CFC1432906</t>
  </si>
  <si>
    <t>(407) 401-8888</t>
  </si>
  <si>
    <t>info@arcticairtemp.com</t>
  </si>
  <si>
    <t>https://arcticairtemp.com</t>
  </si>
  <si>
    <t>5.0 (237 reviews)</t>
  </si>
  <si>
    <t>Google LSA badge shows 'Typically replies in 30 min'. During emergency calls, 30 min is too slow—LeadNet fires in 3 seconds.</t>
  </si>
  <si>
    <t>Ask for Fayfat: 'Hey Fayfat, I saw Google tells customers you reply in 30 mins—we can make that 3 seconds so you never lose an emergency swap.'</t>
  </si>
  <si>
    <t>The Right Service</t>
  </si>
  <si>
    <t>Roland Rodriguez / Blanca Ramirez (Officers)</t>
  </si>
  <si>
    <t>CAC1818721</t>
  </si>
  <si>
    <t>(561) 814-1600</t>
  </si>
  <si>
    <t>support@therightservicefl.com</t>
  </si>
  <si>
    <t>https://therightservicefl.com</t>
  </si>
  <si>
    <t>4.4 (83 reviews)</t>
  </si>
  <si>
    <t>4.4 rating + 83 reviews. Needs automated 5-star Google review requests after service + missed-call text back.</t>
  </si>
  <si>
    <t>Ask for Roland: Pitch instant call-recovery + automatic Google Review generation.</t>
  </si>
  <si>
    <t>Hurricane Air Duct Cleaning &amp; HVAC</t>
  </si>
  <si>
    <t>HVAC / Ducting</t>
  </si>
  <si>
    <t>Joshua P. Bertocci (Manager / Owner)</t>
  </si>
  <si>
    <t>CAC1820119</t>
  </si>
  <si>
    <t>(941) 282-7797</t>
  </si>
  <si>
    <t>customercare@hurricaneairductcleaning.com</t>
  </si>
  <si>
    <t>https://hurricaneairductcleaning.com</t>
  </si>
  <si>
    <t>4.9 (572 reviews)</t>
  </si>
  <si>
    <t>LSA badge shows 'Typically replies in a few hours'. Open until 8 PM. Missing high-ticket weekend replacement leads.</t>
  </si>
  <si>
    <t>Ask for Joshua: Pitch weekend and evening automated text back.</t>
  </si>
  <si>
    <t>Air-Tech Mechanical</t>
  </si>
  <si>
    <t>Walter Joseph (Authorized Member / Manager)</t>
  </si>
  <si>
    <t>CAC1819744</t>
  </si>
  <si>
    <t>(407) 874-7351</t>
  </si>
  <si>
    <t>(561) 889-0755</t>
  </si>
  <si>
    <t>service@myairtechmechanical.com</t>
  </si>
  <si>
    <t>https://myairtechmechanical.com</t>
  </si>
  <si>
    <t>4.9 (291 reviews)</t>
  </si>
  <si>
    <t>5+ years in business, 24/7 emergency service ad. 291 reviews. Strong local operator.</t>
  </si>
  <si>
    <t>Ask for Walter: Pitch 24/7 on-call tech alert + instant customer intake link.</t>
  </si>
  <si>
    <t>Follow-up</t>
  </si>
  <si>
    <t>Ratti Air and Heat</t>
  </si>
  <si>
    <t>Orlando / Brevard, FL</t>
  </si>
  <si>
    <t>Closes 11:59 PM</t>
  </si>
  <si>
    <t>Gino A. Ratti III (President / Primary Qualifier)</t>
  </si>
  <si>
    <t>CAC1817290</t>
  </si>
  <si>
    <t>(321) 360-2798</t>
  </si>
  <si>
    <t>Office@RattiAirandHeat.com</t>
  </si>
  <si>
    <t>https://www.rattiairandheat.com</t>
  </si>
  <si>
    <t>5.0 (772 reviews)</t>
  </si>
  <si>
    <t>772 reviews, open until 11:59 PM. High volume emergency calls.</t>
  </si>
  <si>
    <t>Called yesterday. Follow-up pending.</t>
  </si>
  <si>
    <t>Ask for Gino: FOLLOW-UP dial. If voicemail, send text hook immediately.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</si>
</sst>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4"/>
      <color rgb="FF22D3EE"/>
      <name val="Segoe UI"/>
      <family val="2"/>
    </font>
    <font>
      <b/>
      <sz val="10"/>
      <color rgb="FFFFFFFF"/>
      <name val="Segoe UI"/>
      <family val="2"/>
    </font>
    <font>
      <b/>
      <sz val="13"/>
      <color rgb="FF22D3EE"/>
      <name val="Segoe UI"/>
      <family val="2"/>
    </font>
    <font>
      <b/>
      <sz val="10"/>
      <color rgb="FF000000"/>
      <name val="Segoe UI"/>
      <family val="2"/>
    </font>
    <font>
      <sz val="10"/>
      <color rgb="FF1E293B"/>
      <name val="Segoe UI"/>
      <family val="2"/>
    </font>
    <font>
      <b/>
      <sz val="10"/>
      <color rgb="FF0369A1"/>
      <name val="Segoe UI"/>
      <family val="2"/>
    </font>
    <font>
      <b/>
      <sz val="10"/>
      <color rgb="FF047857"/>
      <name val="Segoe UI"/>
      <family val="2"/>
    </font>
    <font>
      <b/>
      <sz val="10"/>
      <color rgb="FF92400E"/>
      <name val="Segoe UI"/>
      <family val="2"/>
    </font>
    <font>
      <b/>
      <sz val="10"/>
      <color rgb="FF1E40AF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090D16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22D3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</fills>
  <borders count="8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AE6FD"/>
      </left>
      <right style="thin">
        <color rgb="FFBAE6FD"/>
      </right>
      <top style="thin">
        <color rgb="FFBAE6FD"/>
      </top>
      <bottom style="thin">
        <color rgb="FFBAE6FD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/>
    </xf>
    <xf numFmtId="0" fontId="6" fillId="7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vertical="center"/>
    </xf>
    <xf numFmtId="0" fontId="7" fillId="9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glishairinc.com" TargetMode="External"/><Relationship Id="rId2" Type="http://schemas.openxmlformats.org/officeDocument/2006/relationships/hyperlink" Target="https://aircarecentralfl.com" TargetMode="External"/><Relationship Id="rId3" Type="http://schemas.openxmlformats.org/officeDocument/2006/relationships/hyperlink" Target="https://elevateairfl.com" TargetMode="External"/><Relationship Id="rId4" Type="http://schemas.openxmlformats.org/officeDocument/2006/relationships/hyperlink" Target="https://ac2hvac.com" TargetMode="External"/><Relationship Id="rId5" Type="http://schemas.openxmlformats.org/officeDocument/2006/relationships/hyperlink" Target="https://www.kandeac.com" TargetMode="External"/><Relationship Id="rId6" Type="http://schemas.openxmlformats.org/officeDocument/2006/relationships/hyperlink" Target="https://completeairsolutionsfl.com" TargetMode="External"/><Relationship Id="rId7" Type="http://schemas.openxmlformats.org/officeDocument/2006/relationships/hyperlink" Target="https://callacr.com" TargetMode="External"/><Relationship Id="rId8" Type="http://schemas.openxmlformats.org/officeDocument/2006/relationships/hyperlink" Target="https://allstarhvacfl.com" TargetMode="External"/><Relationship Id="rId9" Type="http://schemas.openxmlformats.org/officeDocument/2006/relationships/hyperlink" Target="https://callacs.com" TargetMode="External"/><Relationship Id="rId10" Type="http://schemas.openxmlformats.org/officeDocument/2006/relationships/hyperlink" Target="https://www.onestopairmechanical.com" TargetMode="External"/><Relationship Id="rId11" Type="http://schemas.openxmlformats.org/officeDocument/2006/relationships/hyperlink" Target="https://bluestarairfl.com" TargetMode="External"/><Relationship Id="rId12" Type="http://schemas.openxmlformats.org/officeDocument/2006/relationships/hyperlink" Target="https://www.nicksacandheat.com" TargetMode="External"/><Relationship Id="rId13" Type="http://schemas.openxmlformats.org/officeDocument/2006/relationships/hyperlink" Target="https://ceebeeair.com" TargetMode="External"/><Relationship Id="rId14" Type="http://schemas.openxmlformats.org/officeDocument/2006/relationships/hyperlink" Target="https://allstarcentralflorida.com" TargetMode="External"/><Relationship Id="rId15" Type="http://schemas.openxmlformats.org/officeDocument/2006/relationships/hyperlink" Target="https://d-airsolutions.com" TargetMode="External"/><Relationship Id="rId16" Type="http://schemas.openxmlformats.org/officeDocument/2006/relationships/hyperlink" Target="https://orlandohvacfl.com" TargetMode="External"/><Relationship Id="rId17" Type="http://schemas.openxmlformats.org/officeDocument/2006/relationships/hyperlink" Target="https://allens-ac.com" TargetMode="External"/><Relationship Id="rId18" Type="http://schemas.openxmlformats.org/officeDocument/2006/relationships/hyperlink" Target="https://justiceairconditioning.com" TargetMode="External"/><Relationship Id="rId19" Type="http://schemas.openxmlformats.org/officeDocument/2006/relationships/hyperlink" Target="https://wilcohvac.com" TargetMode="External"/><Relationship Id="rId20" Type="http://schemas.openxmlformats.org/officeDocument/2006/relationships/hyperlink" Target="https://airtechfl.com" TargetMode="External"/><Relationship Id="rId21" Type="http://schemas.openxmlformats.org/officeDocument/2006/relationships/hyperlink" Target="https://nathairplus.com" TargetMode="External"/><Relationship Id="rId22" Type="http://schemas.openxmlformats.org/officeDocument/2006/relationships/hyperlink" Target="https://titanairconditioningandheating.com" TargetMode="External"/><Relationship Id="rId23" Type="http://schemas.openxmlformats.org/officeDocument/2006/relationships/hyperlink" Target="https://skyairandheat.com" TargetMode="External"/><Relationship Id="rId24" Type="http://schemas.openxmlformats.org/officeDocument/2006/relationships/hyperlink" Target="https://benzahdvc.com" TargetMode="External"/><Relationship Id="rId25" Type="http://schemas.openxmlformats.org/officeDocument/2006/relationships/hyperlink" Target="https://issmechanical.com" TargetMode="External"/><Relationship Id="rId26" Type="http://schemas.openxmlformats.org/officeDocument/2006/relationships/hyperlink" Target="https://teamairconditioning.com" TargetMode="External"/><Relationship Id="rId27" Type="http://schemas.openxmlformats.org/officeDocument/2006/relationships/hyperlink" Target="https://asrhvacservices.com" TargetMode="External"/><Relationship Id="rId28" Type="http://schemas.openxmlformats.org/officeDocument/2006/relationships/hyperlink" Target="https://ameritechac.com" TargetMode="External"/><Relationship Id="rId29" Type="http://schemas.openxmlformats.org/officeDocument/2006/relationships/hyperlink" Target="https://www.certifiedquality.org" TargetMode="External"/><Relationship Id="rId30" Type="http://schemas.openxmlformats.org/officeDocument/2006/relationships/hyperlink" Target="https://apopkaheatandair.com" TargetMode="External"/><Relationship Id="rId31" Type="http://schemas.openxmlformats.org/officeDocument/2006/relationships/hyperlink" Target="https://cubanairconditioning.com" TargetMode="External"/><Relationship Id="rId32" Type="http://schemas.openxmlformats.org/officeDocument/2006/relationships/hyperlink" Target="https://summitpeakhvac.com" TargetMode="External"/><Relationship Id="rId33" Type="http://schemas.openxmlformats.org/officeDocument/2006/relationships/hyperlink" Target="https://certifiedacservicesfl.com" TargetMode="External"/><Relationship Id="rId34" Type="http://schemas.openxmlformats.org/officeDocument/2006/relationships/hyperlink" Target="https://joskoservices.com" TargetMode="External"/><Relationship Id="rId35" Type="http://schemas.openxmlformats.org/officeDocument/2006/relationships/hyperlink" Target="https://skyacapopka.com" TargetMode="External"/><Relationship Id="rId36" Type="http://schemas.openxmlformats.org/officeDocument/2006/relationships/hyperlink" Target="https://jdsheatandair.com" TargetMode="External"/><Relationship Id="rId37" Type="http://schemas.openxmlformats.org/officeDocument/2006/relationships/hyperlink" Target="https://keepingitcoolhvac.com" TargetMode="External"/><Relationship Id="rId38" Type="http://schemas.openxmlformats.org/officeDocument/2006/relationships/hyperlink" Target="https://longwoodflhvac.com" TargetMode="External"/><Relationship Id="rId39" Type="http://schemas.openxmlformats.org/officeDocument/2006/relationships/hyperlink" Target="https://immaculateairfl.com" TargetMode="External"/><Relationship Id="rId40" Type="http://schemas.openxmlformats.org/officeDocument/2006/relationships/hyperlink" Target="https://coolithvacfl.com" TargetMode="External"/><Relationship Id="rId41" Type="http://schemas.openxmlformats.org/officeDocument/2006/relationships/hyperlink" Target="https://amscoolingfl.com" TargetMode="External"/><Relationship Id="rId42" Type="http://schemas.openxmlformats.org/officeDocument/2006/relationships/hyperlink" Target="https://frozenairhvac.com" TargetMode="External"/><Relationship Id="rId43" Type="http://schemas.openxmlformats.org/officeDocument/2006/relationships/hyperlink" Target="https://scottsair.com" TargetMode="External"/><Relationship Id="rId44" Type="http://schemas.openxmlformats.org/officeDocument/2006/relationships/hyperlink" Target="https://swiftbrothers.com" TargetMode="External"/><Relationship Id="rId45" Type="http://schemas.openxmlformats.org/officeDocument/2006/relationships/hyperlink" Target="https://enginairfl.com" TargetMode="External"/><Relationship Id="rId46" Type="http://schemas.openxmlformats.org/officeDocument/2006/relationships/hyperlink" Target="https://diamondairfl.com" TargetMode="External"/><Relationship Id="rId47" Type="http://schemas.openxmlformats.org/officeDocument/2006/relationships/hyperlink" Target="https://maferac.com" TargetMode="External"/><Relationship Id="rId48" Type="http://schemas.openxmlformats.org/officeDocument/2006/relationships/hyperlink" Target="https://orlandohvacexperts.com" TargetMode="External"/><Relationship Id="rId49" Type="http://schemas.openxmlformats.org/officeDocument/2006/relationships/hyperlink" Target="https://www.kurtsacandheat.com" TargetMode="External"/><Relationship Id="rId50" Type="http://schemas.openxmlformats.org/officeDocument/2006/relationships/hyperlink" Target="https://toptier-cooling.com" TargetMode="External"/><Relationship Id="rId51" Type="http://schemas.openxmlformats.org/officeDocument/2006/relationships/hyperlink" Target="https://arcticairtemp.com" TargetMode="External"/><Relationship Id="rId52" Type="http://schemas.openxmlformats.org/officeDocument/2006/relationships/hyperlink" Target="https://therightservicefl.com" TargetMode="External"/><Relationship Id="rId53" Type="http://schemas.openxmlformats.org/officeDocument/2006/relationships/hyperlink" Target="https://hurricaneairductcleaning.com" TargetMode="External"/><Relationship Id="rId54" Type="http://schemas.openxmlformats.org/officeDocument/2006/relationships/hyperlink" Target="https://myairtechmechanical.com" TargetMode="External"/><Relationship Id="rId55" Type="http://schemas.openxmlformats.org/officeDocument/2006/relationships/hyperlink" Target="https://www.rattiairandhea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18.7109375" customWidth="1"/>
    <col min="2" max="2" width="22.7109375" customWidth="1"/>
    <col min="3" max="3" width="28.7109375" customWidth="1"/>
    <col min="4" max="4" width="14.7109375" customWidth="1"/>
    <col min="5" max="6" width="18.7109375" customWidth="1"/>
    <col min="7" max="7" width="32.7109375" customWidth="1"/>
    <col min="8" max="10" width="18.7109375" customWidth="1"/>
    <col min="11" max="11" width="26.7109375" customWidth="1"/>
    <col min="12" max="12" width="28.7109375" customWidth="1"/>
    <col min="13" max="13" width="14.7109375" customWidth="1"/>
    <col min="14" max="14" width="16.7109375" customWidth="1"/>
    <col min="15" max="15" width="40.7109375" customWidth="1"/>
    <col min="16" max="18" width="18.7109375" customWidth="1"/>
    <col min="19" max="19" width="14.7109375" customWidth="1"/>
    <col min="20" max="20" width="45.7109375" customWidth="1"/>
  </cols>
  <sheetData>
    <row r="1" spans="1:20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  <c r="I3" s="2" t="s">
        <v>5</v>
      </c>
      <c r="J3" s="2"/>
    </row>
    <row r="4" spans="1:20">
      <c r="A4" s="3">
        <f>COUNTA(C7:C300)</f>
        <v>0</v>
      </c>
      <c r="B4" s="3"/>
      <c r="C4" s="3">
        <f>COUNTIF(B7:B300, "A*")</f>
        <v>0</v>
      </c>
      <c r="D4" s="3"/>
      <c r="E4" s="3">
        <f>COUNTIF(A7:A300, "Demo Booked")</f>
        <v>0</v>
      </c>
      <c r="F4" s="3"/>
      <c r="G4" s="3">
        <f>COUNTIF(A7:A300, "&lt;&gt;Not Contacted") - COUNTBLANK(A7:A300)</f>
        <v>0</v>
      </c>
      <c r="H4" s="3"/>
      <c r="I4" s="3">
        <f>COUNTIF(A7:A300, "Gatekeeper*") + COUNTIF(A7:A300, "Follow-up")</f>
        <v>0</v>
      </c>
      <c r="J4" s="3"/>
    </row>
    <row r="6" spans="1:20" ht="28" customHeigh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24</v>
      </c>
      <c r="T6" s="4" t="s">
        <v>25</v>
      </c>
    </row>
    <row r="7" spans="1:20" ht="22" customHeight="1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6" t="s">
        <v>31</v>
      </c>
      <c r="G7" s="5" t="s">
        <v>32</v>
      </c>
      <c r="H7" s="5" t="s">
        <v>33</v>
      </c>
      <c r="I7" s="5" t="s">
        <v>34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39</v>
      </c>
      <c r="P7" s="5"/>
      <c r="Q7" s="5"/>
      <c r="R7" s="5"/>
      <c r="S7" s="5" t="s">
        <v>40</v>
      </c>
      <c r="T7" s="5" t="s">
        <v>41</v>
      </c>
    </row>
    <row r="8" spans="1:20" ht="22" customHeight="1">
      <c r="A8" s="7" t="s">
        <v>26</v>
      </c>
      <c r="B8" s="7" t="s">
        <v>27</v>
      </c>
      <c r="C8" s="7" t="s">
        <v>42</v>
      </c>
      <c r="D8" s="7" t="s">
        <v>29</v>
      </c>
      <c r="E8" s="7" t="s">
        <v>43</v>
      </c>
      <c r="F8" s="6" t="s">
        <v>44</v>
      </c>
      <c r="G8" s="7" t="s">
        <v>45</v>
      </c>
      <c r="H8" s="7" t="s">
        <v>46</v>
      </c>
      <c r="I8" s="7" t="s">
        <v>47</v>
      </c>
      <c r="J8" s="7" t="s">
        <v>47</v>
      </c>
      <c r="K8" s="7" t="s">
        <v>48</v>
      </c>
      <c r="L8" s="7" t="s">
        <v>49</v>
      </c>
      <c r="M8" s="7" t="s">
        <v>37</v>
      </c>
      <c r="N8" s="7" t="s">
        <v>50</v>
      </c>
      <c r="O8" s="7" t="s">
        <v>51</v>
      </c>
      <c r="P8" s="7"/>
      <c r="Q8" s="7"/>
      <c r="R8" s="7"/>
      <c r="S8" s="7" t="s">
        <v>52</v>
      </c>
      <c r="T8" s="7" t="s">
        <v>53</v>
      </c>
    </row>
    <row r="9" spans="1:20" ht="22" customHeight="1">
      <c r="A9" s="5" t="s">
        <v>26</v>
      </c>
      <c r="B9" s="5" t="s">
        <v>27</v>
      </c>
      <c r="C9" s="5" t="s">
        <v>54</v>
      </c>
      <c r="D9" s="5" t="s">
        <v>29</v>
      </c>
      <c r="E9" s="5" t="s">
        <v>55</v>
      </c>
      <c r="F9" s="8" t="s">
        <v>56</v>
      </c>
      <c r="G9" s="5" t="s">
        <v>57</v>
      </c>
      <c r="H9" s="5" t="s">
        <v>58</v>
      </c>
      <c r="I9" s="5" t="s">
        <v>59</v>
      </c>
      <c r="J9" s="5" t="s">
        <v>59</v>
      </c>
      <c r="K9" s="5" t="s">
        <v>60</v>
      </c>
      <c r="L9" s="5" t="s">
        <v>61</v>
      </c>
      <c r="M9" s="5" t="s">
        <v>62</v>
      </c>
      <c r="N9" s="5" t="s">
        <v>63</v>
      </c>
      <c r="O9" s="5" t="s">
        <v>64</v>
      </c>
      <c r="P9" s="5"/>
      <c r="Q9" s="5"/>
      <c r="R9" s="5"/>
      <c r="S9" s="5" t="s">
        <v>52</v>
      </c>
      <c r="T9" s="5" t="s">
        <v>65</v>
      </c>
    </row>
    <row r="10" spans="1:20" ht="22" customHeight="1">
      <c r="A10" s="7" t="s">
        <v>26</v>
      </c>
      <c r="B10" s="7" t="s">
        <v>27</v>
      </c>
      <c r="C10" s="7" t="s">
        <v>66</v>
      </c>
      <c r="D10" s="7" t="s">
        <v>29</v>
      </c>
      <c r="E10" s="7" t="s">
        <v>55</v>
      </c>
      <c r="F10" s="6" t="s">
        <v>67</v>
      </c>
      <c r="G10" s="7" t="s">
        <v>68</v>
      </c>
      <c r="H10" s="7" t="s">
        <v>69</v>
      </c>
      <c r="I10" s="7" t="s">
        <v>70</v>
      </c>
      <c r="J10" s="7" t="s">
        <v>70</v>
      </c>
      <c r="K10" s="7" t="s">
        <v>71</v>
      </c>
      <c r="L10" s="7" t="s">
        <v>72</v>
      </c>
      <c r="M10" s="7" t="s">
        <v>62</v>
      </c>
      <c r="N10" s="7" t="s">
        <v>73</v>
      </c>
      <c r="O10" s="7" t="s">
        <v>74</v>
      </c>
      <c r="P10" s="7"/>
      <c r="Q10" s="7"/>
      <c r="R10" s="7"/>
      <c r="S10" s="7" t="s">
        <v>52</v>
      </c>
      <c r="T10" s="7" t="s">
        <v>75</v>
      </c>
    </row>
    <row r="11" spans="1:20" ht="22" customHeight="1">
      <c r="A11" s="5" t="s">
        <v>26</v>
      </c>
      <c r="B11" s="5" t="s">
        <v>27</v>
      </c>
      <c r="C11" s="5" t="s">
        <v>76</v>
      </c>
      <c r="D11" s="5" t="s">
        <v>77</v>
      </c>
      <c r="E11" s="5" t="s">
        <v>55</v>
      </c>
      <c r="F11" s="6" t="s">
        <v>78</v>
      </c>
      <c r="G11" s="5" t="s">
        <v>79</v>
      </c>
      <c r="H11" s="5" t="s">
        <v>80</v>
      </c>
      <c r="I11" s="5" t="s">
        <v>81</v>
      </c>
      <c r="J11" s="5" t="s">
        <v>81</v>
      </c>
      <c r="K11" s="5" t="s">
        <v>82</v>
      </c>
      <c r="L11" s="5" t="s">
        <v>83</v>
      </c>
      <c r="M11" s="5" t="s">
        <v>62</v>
      </c>
      <c r="N11" s="5" t="s">
        <v>84</v>
      </c>
      <c r="O11" s="5" t="s">
        <v>85</v>
      </c>
      <c r="P11" s="5"/>
      <c r="Q11" s="5"/>
      <c r="R11" s="5"/>
      <c r="S11" s="5" t="s">
        <v>40</v>
      </c>
      <c r="T11" s="5" t="s">
        <v>86</v>
      </c>
    </row>
    <row r="12" spans="1:20" ht="22" customHeight="1">
      <c r="A12" s="7" t="s">
        <v>26</v>
      </c>
      <c r="B12" s="7" t="s">
        <v>27</v>
      </c>
      <c r="C12" s="7" t="s">
        <v>87</v>
      </c>
      <c r="D12" s="7" t="s">
        <v>29</v>
      </c>
      <c r="E12" s="7" t="s">
        <v>55</v>
      </c>
      <c r="F12" s="6" t="s">
        <v>88</v>
      </c>
      <c r="G12" s="7" t="s">
        <v>89</v>
      </c>
      <c r="H12" s="7" t="s">
        <v>90</v>
      </c>
      <c r="I12" s="7" t="s">
        <v>91</v>
      </c>
      <c r="J12" s="7" t="s">
        <v>91</v>
      </c>
      <c r="K12" s="7" t="s">
        <v>92</v>
      </c>
      <c r="L12" s="7" t="s">
        <v>93</v>
      </c>
      <c r="M12" s="7" t="s">
        <v>62</v>
      </c>
      <c r="N12" s="7" t="s">
        <v>94</v>
      </c>
      <c r="O12" s="7" t="s">
        <v>95</v>
      </c>
      <c r="P12" s="7"/>
      <c r="Q12" s="7"/>
      <c r="R12" s="7"/>
      <c r="S12" s="7" t="s">
        <v>52</v>
      </c>
      <c r="T12" s="7" t="s">
        <v>96</v>
      </c>
    </row>
    <row r="13" spans="1:20" ht="22" customHeight="1">
      <c r="A13" s="5" t="s">
        <v>26</v>
      </c>
      <c r="B13" s="5" t="s">
        <v>27</v>
      </c>
      <c r="C13" s="5" t="s">
        <v>97</v>
      </c>
      <c r="D13" s="5" t="s">
        <v>77</v>
      </c>
      <c r="E13" s="5" t="s">
        <v>55</v>
      </c>
      <c r="F13" s="8" t="s">
        <v>56</v>
      </c>
      <c r="G13" s="5" t="s">
        <v>98</v>
      </c>
      <c r="H13" s="5" t="s">
        <v>99</v>
      </c>
      <c r="I13" s="5" t="s">
        <v>100</v>
      </c>
      <c r="J13" s="5" t="s">
        <v>100</v>
      </c>
      <c r="K13" s="5" t="s">
        <v>101</v>
      </c>
      <c r="L13" s="5" t="s">
        <v>102</v>
      </c>
      <c r="M13" s="5" t="s">
        <v>62</v>
      </c>
      <c r="N13" s="5" t="s">
        <v>103</v>
      </c>
      <c r="O13" s="5" t="s">
        <v>104</v>
      </c>
      <c r="P13" s="5"/>
      <c r="Q13" s="5"/>
      <c r="R13" s="5"/>
      <c r="S13" s="5" t="s">
        <v>105</v>
      </c>
      <c r="T13" s="5" t="s">
        <v>106</v>
      </c>
    </row>
    <row r="14" spans="1:20" ht="22" customHeight="1">
      <c r="A14" s="7" t="s">
        <v>26</v>
      </c>
      <c r="B14" s="7" t="s">
        <v>27</v>
      </c>
      <c r="C14" s="7" t="s">
        <v>107</v>
      </c>
      <c r="D14" s="7" t="s">
        <v>29</v>
      </c>
      <c r="E14" s="7" t="s">
        <v>55</v>
      </c>
      <c r="F14" s="6" t="s">
        <v>31</v>
      </c>
      <c r="G14" s="7" t="s">
        <v>108</v>
      </c>
      <c r="H14" s="7" t="s">
        <v>109</v>
      </c>
      <c r="I14" s="7" t="s">
        <v>110</v>
      </c>
      <c r="J14" s="7" t="s">
        <v>110</v>
      </c>
      <c r="K14" s="7" t="s">
        <v>111</v>
      </c>
      <c r="L14" s="7" t="s">
        <v>112</v>
      </c>
      <c r="M14" s="7" t="s">
        <v>62</v>
      </c>
      <c r="N14" s="7" t="s">
        <v>113</v>
      </c>
      <c r="O14" s="7" t="s">
        <v>114</v>
      </c>
      <c r="P14" s="7"/>
      <c r="Q14" s="7"/>
      <c r="R14" s="7"/>
      <c r="S14" s="7" t="s">
        <v>115</v>
      </c>
      <c r="T14" s="7" t="s">
        <v>116</v>
      </c>
    </row>
    <row r="15" spans="1:20" ht="22" customHeight="1">
      <c r="A15" s="5" t="s">
        <v>26</v>
      </c>
      <c r="B15" s="5" t="s">
        <v>27</v>
      </c>
      <c r="C15" s="5" t="s">
        <v>117</v>
      </c>
      <c r="D15" s="5" t="s">
        <v>29</v>
      </c>
      <c r="E15" s="5" t="s">
        <v>118</v>
      </c>
      <c r="F15" s="8" t="s">
        <v>56</v>
      </c>
      <c r="G15" s="5" t="s">
        <v>119</v>
      </c>
      <c r="H15" s="5" t="s">
        <v>120</v>
      </c>
      <c r="I15" s="5" t="s">
        <v>121</v>
      </c>
      <c r="J15" s="5" t="s">
        <v>121</v>
      </c>
      <c r="K15" s="5" t="s">
        <v>122</v>
      </c>
      <c r="L15" s="5" t="s">
        <v>123</v>
      </c>
      <c r="M15" s="5" t="s">
        <v>62</v>
      </c>
      <c r="N15" s="5" t="s">
        <v>124</v>
      </c>
      <c r="O15" s="5" t="s">
        <v>125</v>
      </c>
      <c r="P15" s="5"/>
      <c r="Q15" s="5"/>
      <c r="R15" s="5"/>
      <c r="S15" s="5" t="s">
        <v>126</v>
      </c>
      <c r="T15" s="5" t="s">
        <v>127</v>
      </c>
    </row>
    <row r="16" spans="1:20" ht="22" customHeight="1">
      <c r="A16" s="9" t="s">
        <v>128</v>
      </c>
      <c r="B16" s="7" t="s">
        <v>27</v>
      </c>
      <c r="C16" s="7" t="s">
        <v>129</v>
      </c>
      <c r="D16" s="7" t="s">
        <v>29</v>
      </c>
      <c r="E16" s="7" t="s">
        <v>118</v>
      </c>
      <c r="F16" s="8" t="s">
        <v>56</v>
      </c>
      <c r="G16" s="7" t="s">
        <v>130</v>
      </c>
      <c r="H16" s="7" t="s">
        <v>131</v>
      </c>
      <c r="I16" s="7" t="s">
        <v>132</v>
      </c>
      <c r="J16" s="7" t="s">
        <v>132</v>
      </c>
      <c r="K16" s="7" t="s">
        <v>133</v>
      </c>
      <c r="L16" s="7" t="s">
        <v>134</v>
      </c>
      <c r="M16" s="7" t="s">
        <v>62</v>
      </c>
      <c r="N16" s="7" t="s">
        <v>135</v>
      </c>
      <c r="O16" s="7" t="s">
        <v>136</v>
      </c>
      <c r="P16" s="7" t="s">
        <v>137</v>
      </c>
      <c r="Q16" s="7"/>
      <c r="R16" s="7"/>
      <c r="S16" s="7" t="s">
        <v>138</v>
      </c>
      <c r="T16" s="7" t="s">
        <v>139</v>
      </c>
    </row>
    <row r="17" spans="1:20" ht="22" customHeight="1">
      <c r="A17" s="5" t="s">
        <v>26</v>
      </c>
      <c r="B17" s="5" t="s">
        <v>27</v>
      </c>
      <c r="C17" s="5" t="s">
        <v>140</v>
      </c>
      <c r="D17" s="5" t="s">
        <v>29</v>
      </c>
      <c r="E17" s="5" t="s">
        <v>141</v>
      </c>
      <c r="F17" s="6" t="s">
        <v>142</v>
      </c>
      <c r="G17" s="5" t="s">
        <v>143</v>
      </c>
      <c r="H17" s="5" t="s">
        <v>144</v>
      </c>
      <c r="I17" s="5" t="s">
        <v>145</v>
      </c>
      <c r="J17" s="5" t="s">
        <v>145</v>
      </c>
      <c r="K17" s="5" t="s">
        <v>146</v>
      </c>
      <c r="L17" s="5" t="s">
        <v>147</v>
      </c>
      <c r="M17" s="5" t="s">
        <v>62</v>
      </c>
      <c r="N17" s="5" t="s">
        <v>148</v>
      </c>
      <c r="O17" s="5" t="s">
        <v>149</v>
      </c>
      <c r="P17" s="5"/>
      <c r="Q17" s="5"/>
      <c r="R17" s="5"/>
      <c r="S17" s="5" t="s">
        <v>105</v>
      </c>
      <c r="T17" s="5" t="s">
        <v>150</v>
      </c>
    </row>
    <row r="18" spans="1:20" ht="22" customHeight="1">
      <c r="A18" s="7" t="s">
        <v>26</v>
      </c>
      <c r="B18" s="7" t="s">
        <v>27</v>
      </c>
      <c r="C18" s="7" t="s">
        <v>151</v>
      </c>
      <c r="D18" s="7" t="s">
        <v>29</v>
      </c>
      <c r="E18" s="7" t="s">
        <v>55</v>
      </c>
      <c r="F18" s="6" t="s">
        <v>67</v>
      </c>
      <c r="G18" s="7" t="s">
        <v>152</v>
      </c>
      <c r="H18" s="7" t="s">
        <v>153</v>
      </c>
      <c r="I18" s="7" t="s">
        <v>154</v>
      </c>
      <c r="J18" s="7" t="s">
        <v>154</v>
      </c>
      <c r="K18" s="7" t="s">
        <v>155</v>
      </c>
      <c r="L18" s="7" t="s">
        <v>156</v>
      </c>
      <c r="M18" s="7" t="s">
        <v>62</v>
      </c>
      <c r="N18" s="7" t="s">
        <v>157</v>
      </c>
      <c r="O18" s="7" t="s">
        <v>158</v>
      </c>
      <c r="P18" s="7"/>
      <c r="Q18" s="7"/>
      <c r="R18" s="7"/>
      <c r="S18" s="7" t="s">
        <v>126</v>
      </c>
      <c r="T18" s="7" t="s">
        <v>159</v>
      </c>
    </row>
    <row r="19" spans="1:20" ht="22" customHeight="1">
      <c r="A19" s="5" t="s">
        <v>26</v>
      </c>
      <c r="B19" s="5" t="s">
        <v>27</v>
      </c>
      <c r="C19" s="5" t="s">
        <v>160</v>
      </c>
      <c r="D19" s="5" t="s">
        <v>29</v>
      </c>
      <c r="E19" s="5" t="s">
        <v>55</v>
      </c>
      <c r="F19" s="6" t="s">
        <v>67</v>
      </c>
      <c r="G19" s="5" t="s">
        <v>161</v>
      </c>
      <c r="H19" s="5" t="s">
        <v>162</v>
      </c>
      <c r="I19" s="5" t="s">
        <v>163</v>
      </c>
      <c r="J19" s="5" t="s">
        <v>164</v>
      </c>
      <c r="K19" s="5" t="s">
        <v>165</v>
      </c>
      <c r="L19" s="5" t="s">
        <v>166</v>
      </c>
      <c r="M19" s="5" t="s">
        <v>62</v>
      </c>
      <c r="N19" s="5" t="s">
        <v>113</v>
      </c>
      <c r="O19" s="5" t="s">
        <v>167</v>
      </c>
      <c r="P19" s="5"/>
      <c r="Q19" s="5"/>
      <c r="R19" s="5"/>
      <c r="S19" s="5" t="s">
        <v>52</v>
      </c>
      <c r="T19" s="5" t="s">
        <v>168</v>
      </c>
    </row>
    <row r="20" spans="1:20" ht="22" customHeight="1">
      <c r="A20" s="7" t="s">
        <v>26</v>
      </c>
      <c r="B20" s="7" t="s">
        <v>27</v>
      </c>
      <c r="C20" s="7" t="s">
        <v>169</v>
      </c>
      <c r="D20" s="7" t="s">
        <v>29</v>
      </c>
      <c r="E20" s="7" t="s">
        <v>170</v>
      </c>
      <c r="F20" s="6" t="s">
        <v>67</v>
      </c>
      <c r="G20" s="7" t="s">
        <v>171</v>
      </c>
      <c r="H20" s="7" t="s">
        <v>172</v>
      </c>
      <c r="I20" s="7" t="s">
        <v>173</v>
      </c>
      <c r="J20" s="7" t="s">
        <v>173</v>
      </c>
      <c r="K20" s="7" t="s">
        <v>174</v>
      </c>
      <c r="L20" s="7" t="s">
        <v>175</v>
      </c>
      <c r="M20" s="7" t="s">
        <v>62</v>
      </c>
      <c r="N20" s="7" t="s">
        <v>176</v>
      </c>
      <c r="O20" s="7" t="s">
        <v>177</v>
      </c>
      <c r="P20" s="7"/>
      <c r="Q20" s="7"/>
      <c r="R20" s="7"/>
      <c r="S20" s="7" t="s">
        <v>52</v>
      </c>
      <c r="T20" s="7" t="s">
        <v>178</v>
      </c>
    </row>
    <row r="21" spans="1:20" ht="22" customHeight="1">
      <c r="A21" s="5" t="s">
        <v>26</v>
      </c>
      <c r="B21" s="5" t="s">
        <v>27</v>
      </c>
      <c r="C21" s="5" t="s">
        <v>179</v>
      </c>
      <c r="D21" s="5" t="s">
        <v>180</v>
      </c>
      <c r="E21" s="5" t="s">
        <v>55</v>
      </c>
      <c r="F21" s="8" t="s">
        <v>56</v>
      </c>
      <c r="G21" s="5" t="s">
        <v>181</v>
      </c>
      <c r="H21" s="5" t="s">
        <v>182</v>
      </c>
      <c r="I21" s="5" t="s">
        <v>183</v>
      </c>
      <c r="J21" s="5" t="s">
        <v>183</v>
      </c>
      <c r="K21" s="5" t="s">
        <v>184</v>
      </c>
      <c r="L21" s="5" t="s">
        <v>185</v>
      </c>
      <c r="M21" s="5" t="s">
        <v>62</v>
      </c>
      <c r="N21" s="5" t="s">
        <v>186</v>
      </c>
      <c r="O21" s="5" t="s">
        <v>187</v>
      </c>
      <c r="P21" s="5"/>
      <c r="Q21" s="5"/>
      <c r="R21" s="5"/>
      <c r="S21" s="5" t="s">
        <v>188</v>
      </c>
      <c r="T21" s="5" t="s">
        <v>189</v>
      </c>
    </row>
    <row r="22" spans="1:20" ht="22" customHeight="1">
      <c r="A22" s="7" t="s">
        <v>26</v>
      </c>
      <c r="B22" s="7" t="s">
        <v>27</v>
      </c>
      <c r="C22" s="7" t="s">
        <v>190</v>
      </c>
      <c r="D22" s="7" t="s">
        <v>29</v>
      </c>
      <c r="E22" s="7" t="s">
        <v>30</v>
      </c>
      <c r="F22" s="6" t="s">
        <v>44</v>
      </c>
      <c r="G22" s="7" t="s">
        <v>191</v>
      </c>
      <c r="H22" s="7" t="s">
        <v>192</v>
      </c>
      <c r="I22" s="7" t="s">
        <v>193</v>
      </c>
      <c r="J22" s="7" t="s">
        <v>193</v>
      </c>
      <c r="K22" s="7" t="s">
        <v>194</v>
      </c>
      <c r="L22" s="7" t="s">
        <v>195</v>
      </c>
      <c r="M22" s="7" t="s">
        <v>62</v>
      </c>
      <c r="N22" s="7" t="s">
        <v>196</v>
      </c>
      <c r="O22" s="7" t="s">
        <v>197</v>
      </c>
      <c r="P22" s="7"/>
      <c r="Q22" s="7"/>
      <c r="R22" s="7"/>
      <c r="S22" s="7" t="s">
        <v>52</v>
      </c>
      <c r="T22" s="7" t="s">
        <v>198</v>
      </c>
    </row>
    <row r="23" spans="1:20" ht="22" customHeight="1">
      <c r="A23" s="5" t="s">
        <v>26</v>
      </c>
      <c r="B23" s="5" t="s">
        <v>27</v>
      </c>
      <c r="C23" s="5" t="s">
        <v>199</v>
      </c>
      <c r="D23" s="5" t="s">
        <v>77</v>
      </c>
      <c r="E23" s="5" t="s">
        <v>170</v>
      </c>
      <c r="F23" s="6" t="s">
        <v>67</v>
      </c>
      <c r="G23" s="5" t="s">
        <v>200</v>
      </c>
      <c r="H23" s="5" t="s">
        <v>201</v>
      </c>
      <c r="I23" s="5" t="s">
        <v>202</v>
      </c>
      <c r="J23" s="5" t="s">
        <v>203</v>
      </c>
      <c r="K23" s="5" t="s">
        <v>204</v>
      </c>
      <c r="L23" s="5" t="s">
        <v>205</v>
      </c>
      <c r="M23" s="5" t="s">
        <v>62</v>
      </c>
      <c r="N23" s="5" t="s">
        <v>206</v>
      </c>
      <c r="O23" s="5" t="s">
        <v>207</v>
      </c>
      <c r="P23" s="5"/>
      <c r="Q23" s="5"/>
      <c r="R23" s="5"/>
      <c r="S23" s="5" t="s">
        <v>208</v>
      </c>
      <c r="T23" s="5" t="s">
        <v>209</v>
      </c>
    </row>
    <row r="24" spans="1:20" ht="22" customHeight="1">
      <c r="A24" s="7" t="s">
        <v>26</v>
      </c>
      <c r="B24" s="7" t="s">
        <v>27</v>
      </c>
      <c r="C24" s="7" t="s">
        <v>210</v>
      </c>
      <c r="D24" s="7" t="s">
        <v>29</v>
      </c>
      <c r="E24" s="7" t="s">
        <v>141</v>
      </c>
      <c r="F24" s="6" t="s">
        <v>67</v>
      </c>
      <c r="G24" s="7" t="s">
        <v>211</v>
      </c>
      <c r="H24" s="7" t="s">
        <v>212</v>
      </c>
      <c r="I24" s="7" t="s">
        <v>213</v>
      </c>
      <c r="J24" s="7" t="s">
        <v>213</v>
      </c>
      <c r="K24" s="7" t="s">
        <v>214</v>
      </c>
      <c r="L24" s="7" t="s">
        <v>215</v>
      </c>
      <c r="M24" s="7" t="s">
        <v>62</v>
      </c>
      <c r="N24" s="7" t="s">
        <v>216</v>
      </c>
      <c r="O24" s="7" t="s">
        <v>217</v>
      </c>
      <c r="P24" s="7"/>
      <c r="Q24" s="7"/>
      <c r="R24" s="7"/>
      <c r="S24" s="7" t="s">
        <v>40</v>
      </c>
      <c r="T24" s="7" t="s">
        <v>218</v>
      </c>
    </row>
    <row r="25" spans="1:20" ht="22" customHeight="1">
      <c r="A25" s="5" t="s">
        <v>26</v>
      </c>
      <c r="B25" s="5" t="s">
        <v>27</v>
      </c>
      <c r="C25" s="5" t="s">
        <v>219</v>
      </c>
      <c r="D25" s="5" t="s">
        <v>29</v>
      </c>
      <c r="E25" s="5" t="s">
        <v>220</v>
      </c>
      <c r="F25" s="8" t="s">
        <v>56</v>
      </c>
      <c r="G25" s="5" t="s">
        <v>221</v>
      </c>
      <c r="H25" s="5" t="s">
        <v>222</v>
      </c>
      <c r="I25" s="5" t="s">
        <v>223</v>
      </c>
      <c r="J25" s="5" t="s">
        <v>223</v>
      </c>
      <c r="K25" s="5" t="s">
        <v>224</v>
      </c>
      <c r="L25" s="5" t="s">
        <v>225</v>
      </c>
      <c r="M25" s="5" t="s">
        <v>37</v>
      </c>
      <c r="N25" s="5" t="s">
        <v>226</v>
      </c>
      <c r="O25" s="5" t="s">
        <v>227</v>
      </c>
      <c r="P25" s="5"/>
      <c r="Q25" s="5"/>
      <c r="R25" s="5"/>
      <c r="S25" s="5" t="s">
        <v>126</v>
      </c>
      <c r="T25" s="5" t="s">
        <v>228</v>
      </c>
    </row>
    <row r="26" spans="1:20" ht="22" customHeight="1">
      <c r="A26" s="7" t="s">
        <v>26</v>
      </c>
      <c r="B26" s="7" t="s">
        <v>27</v>
      </c>
      <c r="C26" s="7" t="s">
        <v>229</v>
      </c>
      <c r="D26" s="7" t="s">
        <v>29</v>
      </c>
      <c r="E26" s="7" t="s">
        <v>141</v>
      </c>
      <c r="F26" s="6" t="s">
        <v>78</v>
      </c>
      <c r="G26" s="7" t="s">
        <v>230</v>
      </c>
      <c r="H26" s="7" t="s">
        <v>231</v>
      </c>
      <c r="I26" s="7" t="s">
        <v>232</v>
      </c>
      <c r="J26" s="7" t="s">
        <v>232</v>
      </c>
      <c r="K26" s="7" t="s">
        <v>233</v>
      </c>
      <c r="L26" s="7" t="s">
        <v>234</v>
      </c>
      <c r="M26" s="7" t="s">
        <v>62</v>
      </c>
      <c r="N26" s="7" t="s">
        <v>235</v>
      </c>
      <c r="O26" s="7" t="s">
        <v>236</v>
      </c>
      <c r="P26" s="7"/>
      <c r="Q26" s="7"/>
      <c r="R26" s="7"/>
      <c r="S26" s="7" t="s">
        <v>237</v>
      </c>
      <c r="T26" s="7" t="s">
        <v>238</v>
      </c>
    </row>
    <row r="27" spans="1:20" ht="22" customHeight="1">
      <c r="A27" s="5" t="s">
        <v>26</v>
      </c>
      <c r="B27" s="5" t="s">
        <v>27</v>
      </c>
      <c r="C27" s="5" t="s">
        <v>239</v>
      </c>
      <c r="D27" s="5" t="s">
        <v>29</v>
      </c>
      <c r="E27" s="5" t="s">
        <v>240</v>
      </c>
      <c r="F27" s="6" t="s">
        <v>44</v>
      </c>
      <c r="G27" s="5" t="s">
        <v>241</v>
      </c>
      <c r="H27" s="5" t="s">
        <v>242</v>
      </c>
      <c r="I27" s="5" t="s">
        <v>243</v>
      </c>
      <c r="J27" s="5" t="s">
        <v>243</v>
      </c>
      <c r="K27" s="5" t="s">
        <v>244</v>
      </c>
      <c r="L27" s="5" t="s">
        <v>245</v>
      </c>
      <c r="M27" s="5" t="s">
        <v>62</v>
      </c>
      <c r="N27" s="5" t="s">
        <v>246</v>
      </c>
      <c r="O27" s="5" t="s">
        <v>247</v>
      </c>
      <c r="P27" s="5"/>
      <c r="Q27" s="5"/>
      <c r="R27" s="5"/>
      <c r="S27" s="5" t="s">
        <v>115</v>
      </c>
      <c r="T27" s="5" t="s">
        <v>248</v>
      </c>
    </row>
    <row r="28" spans="1:20" ht="22" customHeight="1">
      <c r="A28" s="7" t="s">
        <v>26</v>
      </c>
      <c r="B28" s="7" t="s">
        <v>27</v>
      </c>
      <c r="C28" s="7" t="s">
        <v>249</v>
      </c>
      <c r="D28" s="7" t="s">
        <v>29</v>
      </c>
      <c r="E28" s="7" t="s">
        <v>250</v>
      </c>
      <c r="F28" s="6" t="s">
        <v>67</v>
      </c>
      <c r="G28" s="7" t="s">
        <v>251</v>
      </c>
      <c r="H28" s="7" t="s">
        <v>252</v>
      </c>
      <c r="I28" s="7" t="s">
        <v>253</v>
      </c>
      <c r="J28" s="7" t="s">
        <v>253</v>
      </c>
      <c r="K28" s="7" t="s">
        <v>254</v>
      </c>
      <c r="L28" s="7" t="s">
        <v>255</v>
      </c>
      <c r="M28" s="7" t="s">
        <v>62</v>
      </c>
      <c r="N28" s="7" t="s">
        <v>256</v>
      </c>
      <c r="O28" s="7" t="s">
        <v>257</v>
      </c>
      <c r="P28" s="7"/>
      <c r="Q28" s="7"/>
      <c r="R28" s="7"/>
      <c r="S28" s="7" t="s">
        <v>40</v>
      </c>
      <c r="T28" s="7" t="s">
        <v>258</v>
      </c>
    </row>
    <row r="29" spans="1:20" ht="22" customHeight="1">
      <c r="A29" s="5" t="s">
        <v>26</v>
      </c>
      <c r="B29" s="5" t="s">
        <v>27</v>
      </c>
      <c r="C29" s="5" t="s">
        <v>259</v>
      </c>
      <c r="D29" s="5" t="s">
        <v>29</v>
      </c>
      <c r="E29" s="5" t="s">
        <v>260</v>
      </c>
      <c r="F29" s="6" t="s">
        <v>67</v>
      </c>
      <c r="G29" s="5" t="s">
        <v>261</v>
      </c>
      <c r="H29" s="5" t="s">
        <v>262</v>
      </c>
      <c r="I29" s="5" t="s">
        <v>263</v>
      </c>
      <c r="J29" s="5" t="s">
        <v>263</v>
      </c>
      <c r="K29" s="5" t="s">
        <v>264</v>
      </c>
      <c r="L29" s="5" t="s">
        <v>265</v>
      </c>
      <c r="M29" s="5" t="s">
        <v>62</v>
      </c>
      <c r="N29" s="5" t="s">
        <v>266</v>
      </c>
      <c r="O29" s="5" t="s">
        <v>267</v>
      </c>
      <c r="P29" s="5"/>
      <c r="Q29" s="5"/>
      <c r="R29" s="5"/>
      <c r="S29" s="5" t="s">
        <v>115</v>
      </c>
      <c r="T29" s="5" t="s">
        <v>268</v>
      </c>
    </row>
    <row r="30" spans="1:20" ht="22" customHeight="1">
      <c r="A30" s="7" t="s">
        <v>26</v>
      </c>
      <c r="B30" s="7" t="s">
        <v>27</v>
      </c>
      <c r="C30" s="7" t="s">
        <v>269</v>
      </c>
      <c r="D30" s="7" t="s">
        <v>270</v>
      </c>
      <c r="E30" s="7" t="s">
        <v>55</v>
      </c>
      <c r="F30" s="8" t="s">
        <v>56</v>
      </c>
      <c r="G30" s="7" t="s">
        <v>271</v>
      </c>
      <c r="H30" s="7" t="s">
        <v>272</v>
      </c>
      <c r="I30" s="7" t="s">
        <v>273</v>
      </c>
      <c r="J30" s="7" t="s">
        <v>273</v>
      </c>
      <c r="K30" s="7" t="s">
        <v>274</v>
      </c>
      <c r="L30" s="7" t="s">
        <v>275</v>
      </c>
      <c r="M30" s="7" t="s">
        <v>62</v>
      </c>
      <c r="N30" s="7" t="s">
        <v>276</v>
      </c>
      <c r="O30" s="7" t="s">
        <v>277</v>
      </c>
      <c r="P30" s="7"/>
      <c r="Q30" s="7"/>
      <c r="R30" s="7"/>
      <c r="S30" s="7" t="s">
        <v>126</v>
      </c>
      <c r="T30" s="7" t="s">
        <v>278</v>
      </c>
    </row>
    <row r="31" spans="1:20" ht="22" customHeight="1">
      <c r="A31" s="5" t="s">
        <v>26</v>
      </c>
      <c r="B31" s="5" t="s">
        <v>279</v>
      </c>
      <c r="C31" s="5" t="s">
        <v>280</v>
      </c>
      <c r="D31" s="5" t="s">
        <v>281</v>
      </c>
      <c r="E31" s="5" t="s">
        <v>55</v>
      </c>
      <c r="F31" s="6" t="s">
        <v>67</v>
      </c>
      <c r="G31" s="5" t="s">
        <v>282</v>
      </c>
      <c r="H31" s="5" t="s">
        <v>283</v>
      </c>
      <c r="I31" s="5" t="s">
        <v>284</v>
      </c>
      <c r="J31" s="5" t="s">
        <v>285</v>
      </c>
      <c r="K31" s="5" t="s">
        <v>286</v>
      </c>
      <c r="L31" s="5" t="s">
        <v>287</v>
      </c>
      <c r="M31" s="5" t="s">
        <v>62</v>
      </c>
      <c r="N31" s="5" t="s">
        <v>288</v>
      </c>
      <c r="O31" s="5" t="s">
        <v>289</v>
      </c>
      <c r="P31" s="5"/>
      <c r="Q31" s="5"/>
      <c r="R31" s="5"/>
      <c r="S31" s="5" t="s">
        <v>290</v>
      </c>
      <c r="T31" s="5" t="s">
        <v>291</v>
      </c>
    </row>
    <row r="32" spans="1:20" ht="22" customHeight="1">
      <c r="A32" s="7" t="s">
        <v>26</v>
      </c>
      <c r="B32" s="7" t="s">
        <v>27</v>
      </c>
      <c r="C32" s="7" t="s">
        <v>292</v>
      </c>
      <c r="D32" s="7" t="s">
        <v>29</v>
      </c>
      <c r="E32" s="7" t="s">
        <v>293</v>
      </c>
      <c r="F32" s="6" t="s">
        <v>88</v>
      </c>
      <c r="G32" s="7" t="s">
        <v>294</v>
      </c>
      <c r="H32" s="7" t="s">
        <v>295</v>
      </c>
      <c r="I32" s="7" t="s">
        <v>296</v>
      </c>
      <c r="J32" s="7" t="s">
        <v>296</v>
      </c>
      <c r="K32" s="7" t="s">
        <v>297</v>
      </c>
      <c r="L32" s="7" t="s">
        <v>298</v>
      </c>
      <c r="M32" s="7" t="s">
        <v>62</v>
      </c>
      <c r="N32" s="7" t="s">
        <v>299</v>
      </c>
      <c r="O32" s="7" t="s">
        <v>300</v>
      </c>
      <c r="P32" s="7"/>
      <c r="Q32" s="7"/>
      <c r="R32" s="7"/>
      <c r="S32" s="7" t="s">
        <v>52</v>
      </c>
      <c r="T32" s="7" t="s">
        <v>301</v>
      </c>
    </row>
    <row r="33" spans="1:20" ht="22" customHeight="1">
      <c r="A33" s="5" t="s">
        <v>26</v>
      </c>
      <c r="B33" s="5" t="s">
        <v>27</v>
      </c>
      <c r="C33" s="5" t="s">
        <v>302</v>
      </c>
      <c r="D33" s="5" t="s">
        <v>29</v>
      </c>
      <c r="E33" s="5" t="s">
        <v>303</v>
      </c>
      <c r="F33" s="6" t="s">
        <v>67</v>
      </c>
      <c r="G33" s="5" t="s">
        <v>304</v>
      </c>
      <c r="H33" s="5" t="s">
        <v>305</v>
      </c>
      <c r="I33" s="5" t="s">
        <v>306</v>
      </c>
      <c r="J33" s="5" t="s">
        <v>307</v>
      </c>
      <c r="K33" s="5" t="s">
        <v>308</v>
      </c>
      <c r="L33" s="5" t="s">
        <v>309</v>
      </c>
      <c r="M33" s="5" t="s">
        <v>62</v>
      </c>
      <c r="N33" s="5" t="s">
        <v>310</v>
      </c>
      <c r="O33" s="5" t="s">
        <v>311</v>
      </c>
      <c r="P33" s="5"/>
      <c r="Q33" s="5"/>
      <c r="R33" s="5"/>
      <c r="S33" s="5" t="s">
        <v>52</v>
      </c>
      <c r="T33" s="5" t="s">
        <v>312</v>
      </c>
    </row>
    <row r="34" spans="1:20" ht="22" customHeight="1">
      <c r="A34" s="7" t="s">
        <v>26</v>
      </c>
      <c r="B34" s="7" t="s">
        <v>27</v>
      </c>
      <c r="C34" s="7" t="s">
        <v>313</v>
      </c>
      <c r="D34" s="7" t="s">
        <v>29</v>
      </c>
      <c r="E34" s="7" t="s">
        <v>30</v>
      </c>
      <c r="F34" s="6" t="s">
        <v>88</v>
      </c>
      <c r="G34" s="7" t="s">
        <v>314</v>
      </c>
      <c r="H34" s="7" t="s">
        <v>315</v>
      </c>
      <c r="I34" s="7" t="s">
        <v>316</v>
      </c>
      <c r="J34" s="7" t="s">
        <v>316</v>
      </c>
      <c r="K34" s="7" t="s">
        <v>317</v>
      </c>
      <c r="L34" s="7" t="s">
        <v>318</v>
      </c>
      <c r="M34" s="7" t="s">
        <v>62</v>
      </c>
      <c r="N34" s="7" t="s">
        <v>319</v>
      </c>
      <c r="O34" s="7" t="s">
        <v>320</v>
      </c>
      <c r="P34" s="7"/>
      <c r="Q34" s="7"/>
      <c r="R34" s="7"/>
      <c r="S34" s="7" t="s">
        <v>40</v>
      </c>
      <c r="T34" s="7" t="s">
        <v>321</v>
      </c>
    </row>
    <row r="35" spans="1:20" ht="22" customHeight="1">
      <c r="A35" s="5" t="s">
        <v>26</v>
      </c>
      <c r="B35" s="5" t="s">
        <v>27</v>
      </c>
      <c r="C35" s="5" t="s">
        <v>322</v>
      </c>
      <c r="D35" s="5" t="s">
        <v>323</v>
      </c>
      <c r="E35" s="5" t="s">
        <v>55</v>
      </c>
      <c r="F35" s="8" t="s">
        <v>56</v>
      </c>
      <c r="G35" s="5" t="s">
        <v>324</v>
      </c>
      <c r="H35" s="5" t="s">
        <v>325</v>
      </c>
      <c r="I35" s="5" t="s">
        <v>326</v>
      </c>
      <c r="J35" s="5" t="s">
        <v>326</v>
      </c>
      <c r="K35" s="5" t="s">
        <v>327</v>
      </c>
      <c r="L35" s="5" t="s">
        <v>328</v>
      </c>
      <c r="M35" s="5" t="s">
        <v>62</v>
      </c>
      <c r="N35" s="5" t="s">
        <v>329</v>
      </c>
      <c r="O35" s="5" t="s">
        <v>330</v>
      </c>
      <c r="P35" s="5"/>
      <c r="Q35" s="5"/>
      <c r="R35" s="5"/>
      <c r="S35" s="5" t="s">
        <v>208</v>
      </c>
      <c r="T35" s="5" t="s">
        <v>331</v>
      </c>
    </row>
    <row r="36" spans="1:20" ht="22" customHeight="1">
      <c r="A36" s="7" t="s">
        <v>26</v>
      </c>
      <c r="B36" s="7" t="s">
        <v>27</v>
      </c>
      <c r="C36" s="7" t="s">
        <v>332</v>
      </c>
      <c r="D36" s="7" t="s">
        <v>29</v>
      </c>
      <c r="E36" s="7" t="s">
        <v>55</v>
      </c>
      <c r="F36" s="6" t="s">
        <v>333</v>
      </c>
      <c r="G36" s="7" t="s">
        <v>334</v>
      </c>
      <c r="H36" s="7" t="s">
        <v>335</v>
      </c>
      <c r="I36" s="7" t="s">
        <v>336</v>
      </c>
      <c r="J36" s="7" t="s">
        <v>336</v>
      </c>
      <c r="K36" s="7" t="s">
        <v>337</v>
      </c>
      <c r="L36" s="7" t="s">
        <v>338</v>
      </c>
      <c r="M36" s="7" t="s">
        <v>62</v>
      </c>
      <c r="N36" s="7" t="s">
        <v>339</v>
      </c>
      <c r="O36" s="7" t="s">
        <v>340</v>
      </c>
      <c r="P36" s="7"/>
      <c r="Q36" s="7"/>
      <c r="R36" s="7"/>
      <c r="S36" s="7" t="s">
        <v>138</v>
      </c>
      <c r="T36" s="7" t="s">
        <v>341</v>
      </c>
    </row>
    <row r="37" spans="1:20" ht="22" customHeight="1">
      <c r="A37" s="5" t="s">
        <v>26</v>
      </c>
      <c r="B37" s="5" t="s">
        <v>27</v>
      </c>
      <c r="C37" s="5" t="s">
        <v>342</v>
      </c>
      <c r="D37" s="5" t="s">
        <v>29</v>
      </c>
      <c r="E37" s="5" t="s">
        <v>343</v>
      </c>
      <c r="F37" s="6" t="s">
        <v>78</v>
      </c>
      <c r="G37" s="5" t="s">
        <v>344</v>
      </c>
      <c r="H37" s="5" t="s">
        <v>345</v>
      </c>
      <c r="I37" s="5" t="s">
        <v>346</v>
      </c>
      <c r="J37" s="5" t="s">
        <v>346</v>
      </c>
      <c r="K37" s="5" t="s">
        <v>347</v>
      </c>
      <c r="L37" s="5" t="s">
        <v>348</v>
      </c>
      <c r="M37" s="5" t="s">
        <v>62</v>
      </c>
      <c r="N37" s="5" t="s">
        <v>349</v>
      </c>
      <c r="O37" s="5" t="s">
        <v>350</v>
      </c>
      <c r="P37" s="5"/>
      <c r="Q37" s="5"/>
      <c r="R37" s="5"/>
      <c r="S37" s="5" t="s">
        <v>126</v>
      </c>
      <c r="T37" s="5" t="s">
        <v>351</v>
      </c>
    </row>
    <row r="38" spans="1:20" ht="22" customHeight="1">
      <c r="A38" s="7" t="s">
        <v>26</v>
      </c>
      <c r="B38" s="7" t="s">
        <v>27</v>
      </c>
      <c r="C38" s="7" t="s">
        <v>352</v>
      </c>
      <c r="D38" s="7" t="s">
        <v>29</v>
      </c>
      <c r="E38" s="7" t="s">
        <v>353</v>
      </c>
      <c r="F38" s="8" t="s">
        <v>56</v>
      </c>
      <c r="G38" s="7" t="s">
        <v>354</v>
      </c>
      <c r="H38" s="7" t="s">
        <v>355</v>
      </c>
      <c r="I38" s="7" t="s">
        <v>356</v>
      </c>
      <c r="J38" s="7" t="s">
        <v>356</v>
      </c>
      <c r="K38" s="7" t="s">
        <v>357</v>
      </c>
      <c r="L38" s="7" t="s">
        <v>358</v>
      </c>
      <c r="M38" s="7" t="s">
        <v>62</v>
      </c>
      <c r="N38" s="7" t="s">
        <v>359</v>
      </c>
      <c r="O38" s="7" t="s">
        <v>360</v>
      </c>
      <c r="P38" s="7"/>
      <c r="Q38" s="7"/>
      <c r="R38" s="7"/>
      <c r="S38" s="7" t="s">
        <v>188</v>
      </c>
      <c r="T38" s="7" t="s">
        <v>361</v>
      </c>
    </row>
    <row r="39" spans="1:20" ht="22" customHeight="1">
      <c r="A39" s="5" t="s">
        <v>26</v>
      </c>
      <c r="B39" s="5" t="s">
        <v>27</v>
      </c>
      <c r="C39" s="5" t="s">
        <v>362</v>
      </c>
      <c r="D39" s="5" t="s">
        <v>29</v>
      </c>
      <c r="E39" s="5" t="s">
        <v>55</v>
      </c>
      <c r="F39" s="6" t="s">
        <v>67</v>
      </c>
      <c r="G39" s="5" t="s">
        <v>363</v>
      </c>
      <c r="H39" s="5" t="s">
        <v>364</v>
      </c>
      <c r="I39" s="5" t="s">
        <v>365</v>
      </c>
      <c r="J39" s="5" t="s">
        <v>365</v>
      </c>
      <c r="K39" s="5" t="s">
        <v>366</v>
      </c>
      <c r="L39" s="5" t="s">
        <v>367</v>
      </c>
      <c r="M39" s="5" t="s">
        <v>62</v>
      </c>
      <c r="N39" s="5" t="s">
        <v>368</v>
      </c>
      <c r="O39" s="5" t="s">
        <v>369</v>
      </c>
      <c r="P39" s="5"/>
      <c r="Q39" s="5"/>
      <c r="R39" s="5"/>
      <c r="S39" s="5" t="s">
        <v>115</v>
      </c>
      <c r="T39" s="5" t="s">
        <v>370</v>
      </c>
    </row>
    <row r="40" spans="1:20" ht="22" customHeight="1">
      <c r="A40" s="7" t="s">
        <v>26</v>
      </c>
      <c r="B40" s="7" t="s">
        <v>27</v>
      </c>
      <c r="C40" s="7" t="s">
        <v>371</v>
      </c>
      <c r="D40" s="7" t="s">
        <v>372</v>
      </c>
      <c r="E40" s="7" t="s">
        <v>55</v>
      </c>
      <c r="F40" s="8" t="s">
        <v>56</v>
      </c>
      <c r="G40" s="7" t="s">
        <v>373</v>
      </c>
      <c r="H40" s="7" t="s">
        <v>374</v>
      </c>
      <c r="I40" s="7" t="s">
        <v>375</v>
      </c>
      <c r="J40" s="7" t="s">
        <v>375</v>
      </c>
      <c r="K40" s="7" t="s">
        <v>376</v>
      </c>
      <c r="L40" s="7" t="s">
        <v>377</v>
      </c>
      <c r="M40" s="7" t="s">
        <v>62</v>
      </c>
      <c r="N40" s="7" t="s">
        <v>378</v>
      </c>
      <c r="O40" s="7" t="s">
        <v>379</v>
      </c>
      <c r="P40" s="7"/>
      <c r="Q40" s="7"/>
      <c r="R40" s="7"/>
      <c r="S40" s="7" t="s">
        <v>105</v>
      </c>
      <c r="T40" s="7" t="s">
        <v>380</v>
      </c>
    </row>
    <row r="41" spans="1:20" ht="22" customHeight="1">
      <c r="A41" s="5" t="s">
        <v>26</v>
      </c>
      <c r="B41" s="5" t="s">
        <v>27</v>
      </c>
      <c r="C41" s="5" t="s">
        <v>381</v>
      </c>
      <c r="D41" s="5" t="s">
        <v>29</v>
      </c>
      <c r="E41" s="5" t="s">
        <v>55</v>
      </c>
      <c r="F41" s="8" t="s">
        <v>56</v>
      </c>
      <c r="G41" s="5" t="s">
        <v>382</v>
      </c>
      <c r="H41" s="5" t="s">
        <v>383</v>
      </c>
      <c r="I41" s="5" t="s">
        <v>384</v>
      </c>
      <c r="J41" s="5" t="s">
        <v>384</v>
      </c>
      <c r="K41" s="5" t="s">
        <v>385</v>
      </c>
      <c r="L41" s="5" t="s">
        <v>386</v>
      </c>
      <c r="M41" s="5" t="s">
        <v>62</v>
      </c>
      <c r="N41" s="5" t="s">
        <v>387</v>
      </c>
      <c r="O41" s="5" t="s">
        <v>388</v>
      </c>
      <c r="P41" s="5"/>
      <c r="Q41" s="5"/>
      <c r="R41" s="5"/>
      <c r="S41" s="5" t="s">
        <v>389</v>
      </c>
      <c r="T41" s="5" t="s">
        <v>390</v>
      </c>
    </row>
    <row r="42" spans="1:20" ht="22" customHeight="1">
      <c r="A42" s="7" t="s">
        <v>26</v>
      </c>
      <c r="B42" s="7" t="s">
        <v>27</v>
      </c>
      <c r="C42" s="7" t="s">
        <v>391</v>
      </c>
      <c r="D42" s="7" t="s">
        <v>29</v>
      </c>
      <c r="E42" s="7" t="s">
        <v>392</v>
      </c>
      <c r="F42" s="6" t="s">
        <v>67</v>
      </c>
      <c r="G42" s="7" t="s">
        <v>393</v>
      </c>
      <c r="H42" s="7" t="s">
        <v>394</v>
      </c>
      <c r="I42" s="7" t="s">
        <v>395</v>
      </c>
      <c r="J42" s="7" t="s">
        <v>395</v>
      </c>
      <c r="K42" s="7" t="s">
        <v>396</v>
      </c>
      <c r="L42" s="7" t="s">
        <v>397</v>
      </c>
      <c r="M42" s="7" t="s">
        <v>62</v>
      </c>
      <c r="N42" s="7" t="s">
        <v>398</v>
      </c>
      <c r="O42" s="7" t="s">
        <v>399</v>
      </c>
      <c r="P42" s="7"/>
      <c r="Q42" s="7"/>
      <c r="R42" s="7"/>
      <c r="S42" s="7" t="s">
        <v>40</v>
      </c>
      <c r="T42" s="7" t="s">
        <v>400</v>
      </c>
    </row>
    <row r="43" spans="1:20" ht="22" customHeight="1">
      <c r="A43" s="5" t="s">
        <v>26</v>
      </c>
      <c r="B43" s="5" t="s">
        <v>27</v>
      </c>
      <c r="C43" s="5" t="s">
        <v>401</v>
      </c>
      <c r="D43" s="5" t="s">
        <v>29</v>
      </c>
      <c r="E43" s="5" t="s">
        <v>402</v>
      </c>
      <c r="F43" s="8" t="s">
        <v>56</v>
      </c>
      <c r="G43" s="5" t="s">
        <v>403</v>
      </c>
      <c r="H43" s="5" t="s">
        <v>404</v>
      </c>
      <c r="I43" s="5" t="s">
        <v>405</v>
      </c>
      <c r="J43" s="5" t="s">
        <v>405</v>
      </c>
      <c r="K43" s="5" t="s">
        <v>406</v>
      </c>
      <c r="L43" s="5" t="s">
        <v>407</v>
      </c>
      <c r="M43" s="5" t="s">
        <v>62</v>
      </c>
      <c r="N43" s="5" t="s">
        <v>408</v>
      </c>
      <c r="O43" s="5" t="s">
        <v>409</v>
      </c>
      <c r="P43" s="5"/>
      <c r="Q43" s="5"/>
      <c r="R43" s="5"/>
      <c r="S43" s="5" t="s">
        <v>52</v>
      </c>
      <c r="T43" s="5" t="s">
        <v>410</v>
      </c>
    </row>
    <row r="44" spans="1:20" ht="22" customHeight="1">
      <c r="A44" s="7" t="s">
        <v>26</v>
      </c>
      <c r="B44" s="7" t="s">
        <v>27</v>
      </c>
      <c r="C44" s="7" t="s">
        <v>411</v>
      </c>
      <c r="D44" s="7" t="s">
        <v>29</v>
      </c>
      <c r="E44" s="7" t="s">
        <v>141</v>
      </c>
      <c r="F44" s="8" t="s">
        <v>56</v>
      </c>
      <c r="G44" s="7" t="s">
        <v>412</v>
      </c>
      <c r="H44" s="7" t="s">
        <v>413</v>
      </c>
      <c r="I44" s="7" t="s">
        <v>414</v>
      </c>
      <c r="J44" s="7" t="s">
        <v>414</v>
      </c>
      <c r="K44" s="7" t="s">
        <v>415</v>
      </c>
      <c r="L44" s="7" t="s">
        <v>416</v>
      </c>
      <c r="M44" s="7" t="s">
        <v>62</v>
      </c>
      <c r="N44" s="7" t="s">
        <v>417</v>
      </c>
      <c r="O44" s="7" t="s">
        <v>418</v>
      </c>
      <c r="P44" s="7"/>
      <c r="Q44" s="7"/>
      <c r="R44" s="7"/>
      <c r="S44" s="7" t="s">
        <v>389</v>
      </c>
      <c r="T44" s="7" t="s">
        <v>419</v>
      </c>
    </row>
    <row r="45" spans="1:20" ht="22" customHeight="1">
      <c r="A45" s="5" t="s">
        <v>26</v>
      </c>
      <c r="B45" s="5" t="s">
        <v>27</v>
      </c>
      <c r="C45" s="5" t="s">
        <v>420</v>
      </c>
      <c r="D45" s="5" t="s">
        <v>29</v>
      </c>
      <c r="E45" s="5" t="s">
        <v>343</v>
      </c>
      <c r="F45" s="8" t="s">
        <v>56</v>
      </c>
      <c r="G45" s="5" t="s">
        <v>421</v>
      </c>
      <c r="H45" s="5" t="s">
        <v>422</v>
      </c>
      <c r="I45" s="5" t="s">
        <v>423</v>
      </c>
      <c r="J45" s="5" t="s">
        <v>423</v>
      </c>
      <c r="K45" s="5" t="s">
        <v>424</v>
      </c>
      <c r="L45" s="5" t="s">
        <v>425</v>
      </c>
      <c r="M45" s="5" t="s">
        <v>62</v>
      </c>
      <c r="N45" s="5" t="s">
        <v>426</v>
      </c>
      <c r="O45" s="5" t="s">
        <v>427</v>
      </c>
      <c r="P45" s="5"/>
      <c r="Q45" s="5"/>
      <c r="R45" s="5"/>
      <c r="S45" s="5" t="s">
        <v>188</v>
      </c>
      <c r="T45" s="5" t="s">
        <v>428</v>
      </c>
    </row>
    <row r="46" spans="1:20" ht="22" customHeight="1">
      <c r="A46" s="7" t="s">
        <v>26</v>
      </c>
      <c r="B46" s="7" t="s">
        <v>27</v>
      </c>
      <c r="C46" s="7" t="s">
        <v>429</v>
      </c>
      <c r="D46" s="7" t="s">
        <v>29</v>
      </c>
      <c r="E46" s="7" t="s">
        <v>430</v>
      </c>
      <c r="F46" s="8" t="s">
        <v>56</v>
      </c>
      <c r="G46" s="7" t="s">
        <v>431</v>
      </c>
      <c r="H46" s="7" t="s">
        <v>432</v>
      </c>
      <c r="I46" s="7" t="s">
        <v>433</v>
      </c>
      <c r="J46" s="7" t="s">
        <v>433</v>
      </c>
      <c r="K46" s="7" t="s">
        <v>434</v>
      </c>
      <c r="L46" s="7" t="s">
        <v>435</v>
      </c>
      <c r="M46" s="7" t="s">
        <v>62</v>
      </c>
      <c r="N46" s="7" t="s">
        <v>436</v>
      </c>
      <c r="O46" s="7" t="s">
        <v>437</v>
      </c>
      <c r="P46" s="7"/>
      <c r="Q46" s="7"/>
      <c r="R46" s="7"/>
      <c r="S46" s="7" t="s">
        <v>115</v>
      </c>
      <c r="T46" s="7" t="s">
        <v>438</v>
      </c>
    </row>
    <row r="47" spans="1:20" ht="22" customHeight="1">
      <c r="A47" s="5" t="s">
        <v>26</v>
      </c>
      <c r="B47" s="5" t="s">
        <v>27</v>
      </c>
      <c r="C47" s="5" t="s">
        <v>439</v>
      </c>
      <c r="D47" s="5" t="s">
        <v>440</v>
      </c>
      <c r="E47" s="5" t="s">
        <v>441</v>
      </c>
      <c r="F47" s="8" t="s">
        <v>56</v>
      </c>
      <c r="G47" s="5" t="s">
        <v>442</v>
      </c>
      <c r="H47" s="5" t="s">
        <v>443</v>
      </c>
      <c r="I47" s="5" t="s">
        <v>444</v>
      </c>
      <c r="J47" s="5" t="s">
        <v>444</v>
      </c>
      <c r="K47" s="5" t="s">
        <v>445</v>
      </c>
      <c r="L47" s="5" t="s">
        <v>446</v>
      </c>
      <c r="M47" s="5" t="s">
        <v>62</v>
      </c>
      <c r="N47" s="5" t="s">
        <v>447</v>
      </c>
      <c r="O47" s="5" t="s">
        <v>448</v>
      </c>
      <c r="P47" s="5"/>
      <c r="Q47" s="5"/>
      <c r="R47" s="5"/>
      <c r="S47" s="5" t="s">
        <v>52</v>
      </c>
      <c r="T47" s="5" t="s">
        <v>449</v>
      </c>
    </row>
    <row r="48" spans="1:20" ht="22" customHeight="1">
      <c r="A48" s="7" t="s">
        <v>26</v>
      </c>
      <c r="B48" s="7" t="s">
        <v>27</v>
      </c>
      <c r="C48" s="7" t="s">
        <v>450</v>
      </c>
      <c r="D48" s="7" t="s">
        <v>29</v>
      </c>
      <c r="E48" s="7" t="s">
        <v>353</v>
      </c>
      <c r="F48" s="6" t="s">
        <v>31</v>
      </c>
      <c r="G48" s="7" t="s">
        <v>451</v>
      </c>
      <c r="H48" s="7" t="s">
        <v>452</v>
      </c>
      <c r="I48" s="7" t="s">
        <v>453</v>
      </c>
      <c r="J48" s="7" t="s">
        <v>453</v>
      </c>
      <c r="K48" s="7" t="s">
        <v>454</v>
      </c>
      <c r="L48" s="7" t="s">
        <v>455</v>
      </c>
      <c r="M48" s="7" t="s">
        <v>62</v>
      </c>
      <c r="N48" s="7" t="s">
        <v>456</v>
      </c>
      <c r="O48" s="7" t="s">
        <v>457</v>
      </c>
      <c r="P48" s="7"/>
      <c r="Q48" s="7"/>
      <c r="R48" s="7"/>
      <c r="S48" s="7" t="s">
        <v>138</v>
      </c>
      <c r="T48" s="7" t="s">
        <v>458</v>
      </c>
    </row>
    <row r="49" spans="1:20" ht="22" customHeight="1">
      <c r="A49" s="5" t="s">
        <v>26</v>
      </c>
      <c r="B49" s="5" t="s">
        <v>27</v>
      </c>
      <c r="C49" s="5" t="s">
        <v>459</v>
      </c>
      <c r="D49" s="5" t="s">
        <v>29</v>
      </c>
      <c r="E49" s="5" t="s">
        <v>141</v>
      </c>
      <c r="F49" s="6" t="s">
        <v>333</v>
      </c>
      <c r="G49" s="5" t="s">
        <v>460</v>
      </c>
      <c r="H49" s="5" t="s">
        <v>461</v>
      </c>
      <c r="I49" s="5" t="s">
        <v>462</v>
      </c>
      <c r="J49" s="5" t="s">
        <v>462</v>
      </c>
      <c r="K49" s="5" t="s">
        <v>463</v>
      </c>
      <c r="L49" s="5" t="s">
        <v>464</v>
      </c>
      <c r="M49" s="5" t="s">
        <v>62</v>
      </c>
      <c r="N49" s="5" t="s">
        <v>465</v>
      </c>
      <c r="O49" s="5" t="s">
        <v>466</v>
      </c>
      <c r="P49" s="5"/>
      <c r="Q49" s="5"/>
      <c r="R49" s="5"/>
      <c r="S49" s="5" t="s">
        <v>208</v>
      </c>
      <c r="T49" s="5" t="s">
        <v>467</v>
      </c>
    </row>
    <row r="50" spans="1:20" ht="22" customHeight="1">
      <c r="A50" s="7" t="s">
        <v>26</v>
      </c>
      <c r="B50" s="7" t="s">
        <v>27</v>
      </c>
      <c r="C50" s="7" t="s">
        <v>468</v>
      </c>
      <c r="D50" s="7" t="s">
        <v>469</v>
      </c>
      <c r="E50" s="7" t="s">
        <v>118</v>
      </c>
      <c r="F50" s="8" t="s">
        <v>56</v>
      </c>
      <c r="G50" s="7" t="s">
        <v>470</v>
      </c>
      <c r="H50" s="7" t="s">
        <v>471</v>
      </c>
      <c r="I50" s="7" t="s">
        <v>472</v>
      </c>
      <c r="J50" s="7" t="s">
        <v>473</v>
      </c>
      <c r="K50" s="7" t="s">
        <v>474</v>
      </c>
      <c r="L50" s="7" t="s">
        <v>475</v>
      </c>
      <c r="M50" s="7" t="s">
        <v>62</v>
      </c>
      <c r="N50" s="7" t="s">
        <v>476</v>
      </c>
      <c r="O50" s="7" t="s">
        <v>477</v>
      </c>
      <c r="P50" s="7"/>
      <c r="Q50" s="7"/>
      <c r="R50" s="7"/>
      <c r="S50" s="7" t="s">
        <v>52</v>
      </c>
      <c r="T50" s="7" t="s">
        <v>478</v>
      </c>
    </row>
    <row r="51" spans="1:20" ht="22" customHeight="1">
      <c r="A51" s="5" t="s">
        <v>26</v>
      </c>
      <c r="B51" s="5" t="s">
        <v>27</v>
      </c>
      <c r="C51" s="5" t="s">
        <v>479</v>
      </c>
      <c r="D51" s="5" t="s">
        <v>77</v>
      </c>
      <c r="E51" s="5" t="s">
        <v>480</v>
      </c>
      <c r="F51" s="8" t="s">
        <v>56</v>
      </c>
      <c r="G51" s="5" t="s">
        <v>481</v>
      </c>
      <c r="H51" s="5" t="s">
        <v>482</v>
      </c>
      <c r="I51" s="5" t="s">
        <v>483</v>
      </c>
      <c r="J51" s="5" t="s">
        <v>483</v>
      </c>
      <c r="K51" s="5" t="s">
        <v>484</v>
      </c>
      <c r="L51" s="5" t="s">
        <v>485</v>
      </c>
      <c r="M51" s="5" t="s">
        <v>62</v>
      </c>
      <c r="N51" s="5" t="s">
        <v>486</v>
      </c>
      <c r="O51" s="5" t="s">
        <v>487</v>
      </c>
      <c r="P51" s="5"/>
      <c r="Q51" s="5"/>
      <c r="R51" s="5"/>
      <c r="S51" s="5" t="s">
        <v>52</v>
      </c>
      <c r="T51" s="5" t="s">
        <v>488</v>
      </c>
    </row>
    <row r="52" spans="1:20" ht="22" customHeight="1">
      <c r="A52" s="7" t="s">
        <v>26</v>
      </c>
      <c r="B52" s="7" t="s">
        <v>27</v>
      </c>
      <c r="C52" s="7" t="s">
        <v>489</v>
      </c>
      <c r="D52" s="7" t="s">
        <v>29</v>
      </c>
      <c r="E52" s="7" t="s">
        <v>30</v>
      </c>
      <c r="F52" s="6" t="s">
        <v>67</v>
      </c>
      <c r="G52" s="7" t="s">
        <v>490</v>
      </c>
      <c r="H52" s="7" t="s">
        <v>491</v>
      </c>
      <c r="I52" s="7" t="s">
        <v>492</v>
      </c>
      <c r="J52" s="7" t="s">
        <v>492</v>
      </c>
      <c r="K52" s="7" t="s">
        <v>493</v>
      </c>
      <c r="L52" s="7" t="s">
        <v>494</v>
      </c>
      <c r="M52" s="7" t="s">
        <v>62</v>
      </c>
      <c r="N52" s="7" t="s">
        <v>495</v>
      </c>
      <c r="O52" s="7" t="s">
        <v>496</v>
      </c>
      <c r="P52" s="7"/>
      <c r="Q52" s="7"/>
      <c r="R52" s="7"/>
      <c r="S52" s="7" t="s">
        <v>52</v>
      </c>
      <c r="T52" s="7" t="s">
        <v>497</v>
      </c>
    </row>
    <row r="53" spans="1:20" ht="22" customHeight="1">
      <c r="A53" s="5" t="s">
        <v>26</v>
      </c>
      <c r="B53" s="5" t="s">
        <v>27</v>
      </c>
      <c r="C53" s="5" t="s">
        <v>498</v>
      </c>
      <c r="D53" s="5" t="s">
        <v>29</v>
      </c>
      <c r="E53" s="5" t="s">
        <v>30</v>
      </c>
      <c r="F53" s="6" t="s">
        <v>31</v>
      </c>
      <c r="G53" s="5" t="s">
        <v>499</v>
      </c>
      <c r="H53" s="5" t="s">
        <v>500</v>
      </c>
      <c r="I53" s="5" t="s">
        <v>501</v>
      </c>
      <c r="J53" s="5" t="s">
        <v>501</v>
      </c>
      <c r="K53" s="5" t="s">
        <v>502</v>
      </c>
      <c r="L53" s="5" t="s">
        <v>503</v>
      </c>
      <c r="M53" s="5" t="s">
        <v>62</v>
      </c>
      <c r="N53" s="5" t="s">
        <v>504</v>
      </c>
      <c r="O53" s="5" t="s">
        <v>505</v>
      </c>
      <c r="P53" s="5"/>
      <c r="Q53" s="5"/>
      <c r="R53" s="5"/>
      <c r="S53" s="5" t="s">
        <v>40</v>
      </c>
      <c r="T53" s="5" t="s">
        <v>506</v>
      </c>
    </row>
    <row r="54" spans="1:20" ht="22" customHeight="1">
      <c r="A54" s="7" t="s">
        <v>26</v>
      </c>
      <c r="B54" s="7" t="s">
        <v>27</v>
      </c>
      <c r="C54" s="7" t="s">
        <v>507</v>
      </c>
      <c r="D54" s="7" t="s">
        <v>29</v>
      </c>
      <c r="E54" s="7" t="s">
        <v>30</v>
      </c>
      <c r="F54" s="8" t="s">
        <v>56</v>
      </c>
      <c r="G54" s="7" t="s">
        <v>508</v>
      </c>
      <c r="H54" s="7" t="s">
        <v>509</v>
      </c>
      <c r="I54" s="7" t="s">
        <v>510</v>
      </c>
      <c r="J54" s="7" t="s">
        <v>510</v>
      </c>
      <c r="K54" s="7" t="s">
        <v>511</v>
      </c>
      <c r="L54" s="7" t="s">
        <v>512</v>
      </c>
      <c r="M54" s="7" t="s">
        <v>62</v>
      </c>
      <c r="N54" s="7" t="s">
        <v>513</v>
      </c>
      <c r="O54" s="7" t="s">
        <v>514</v>
      </c>
      <c r="P54" s="7"/>
      <c r="Q54" s="7"/>
      <c r="R54" s="7"/>
      <c r="S54" s="7" t="s">
        <v>126</v>
      </c>
      <c r="T54" s="7" t="s">
        <v>515</v>
      </c>
    </row>
    <row r="55" spans="1:20" ht="22" customHeight="1">
      <c r="A55" s="5" t="s">
        <v>26</v>
      </c>
      <c r="B55" s="5" t="s">
        <v>27</v>
      </c>
      <c r="C55" s="5" t="s">
        <v>516</v>
      </c>
      <c r="D55" s="5" t="s">
        <v>29</v>
      </c>
      <c r="E55" s="5" t="s">
        <v>517</v>
      </c>
      <c r="F55" s="6" t="s">
        <v>67</v>
      </c>
      <c r="G55" s="5" t="s">
        <v>518</v>
      </c>
      <c r="H55" s="5" t="s">
        <v>519</v>
      </c>
      <c r="I55" s="5" t="s">
        <v>520</v>
      </c>
      <c r="J55" s="5" t="s">
        <v>520</v>
      </c>
      <c r="K55" s="5" t="s">
        <v>521</v>
      </c>
      <c r="L55" s="5" t="s">
        <v>522</v>
      </c>
      <c r="M55" s="5" t="s">
        <v>62</v>
      </c>
      <c r="N55" s="5" t="s">
        <v>523</v>
      </c>
      <c r="O55" s="5" t="s">
        <v>524</v>
      </c>
      <c r="P55" s="5"/>
      <c r="Q55" s="5"/>
      <c r="R55" s="5"/>
      <c r="S55" s="5" t="s">
        <v>40</v>
      </c>
      <c r="T55" s="5" t="s">
        <v>525</v>
      </c>
    </row>
    <row r="56" spans="1:20" ht="22" customHeight="1">
      <c r="A56" s="7" t="s">
        <v>26</v>
      </c>
      <c r="B56" s="7" t="s">
        <v>27</v>
      </c>
      <c r="C56" s="7" t="s">
        <v>526</v>
      </c>
      <c r="D56" s="7" t="s">
        <v>29</v>
      </c>
      <c r="E56" s="7" t="s">
        <v>30</v>
      </c>
      <c r="F56" s="8" t="s">
        <v>56</v>
      </c>
      <c r="G56" s="7" t="s">
        <v>527</v>
      </c>
      <c r="H56" s="7" t="s">
        <v>528</v>
      </c>
      <c r="I56" s="7" t="s">
        <v>529</v>
      </c>
      <c r="J56" s="7" t="s">
        <v>530</v>
      </c>
      <c r="K56" s="7" t="s">
        <v>531</v>
      </c>
      <c r="L56" s="7" t="s">
        <v>532</v>
      </c>
      <c r="M56" s="7" t="s">
        <v>62</v>
      </c>
      <c r="N56" s="7" t="s">
        <v>266</v>
      </c>
      <c r="O56" s="7" t="s">
        <v>533</v>
      </c>
      <c r="P56" s="7"/>
      <c r="Q56" s="7"/>
      <c r="R56" s="7"/>
      <c r="S56" s="7" t="s">
        <v>52</v>
      </c>
      <c r="T56" s="7" t="s">
        <v>534</v>
      </c>
    </row>
    <row r="57" spans="1:20" ht="22" customHeight="1">
      <c r="A57" s="5" t="s">
        <v>26</v>
      </c>
      <c r="B57" s="5" t="s">
        <v>27</v>
      </c>
      <c r="C57" s="5" t="s">
        <v>535</v>
      </c>
      <c r="D57" s="5" t="s">
        <v>469</v>
      </c>
      <c r="E57" s="5" t="s">
        <v>536</v>
      </c>
      <c r="F57" s="8" t="s">
        <v>56</v>
      </c>
      <c r="G57" s="5" t="s">
        <v>537</v>
      </c>
      <c r="H57" s="5" t="s">
        <v>538</v>
      </c>
      <c r="I57" s="5" t="s">
        <v>539</v>
      </c>
      <c r="J57" s="5" t="s">
        <v>539</v>
      </c>
      <c r="K57" s="5" t="s">
        <v>540</v>
      </c>
      <c r="L57" s="5" t="s">
        <v>541</v>
      </c>
      <c r="M57" s="5" t="s">
        <v>62</v>
      </c>
      <c r="N57" s="5" t="s">
        <v>542</v>
      </c>
      <c r="O57" s="5" t="s">
        <v>543</v>
      </c>
      <c r="P57" s="5"/>
      <c r="Q57" s="5"/>
      <c r="R57" s="5"/>
      <c r="S57" s="5" t="s">
        <v>105</v>
      </c>
      <c r="T57" s="5" t="s">
        <v>544</v>
      </c>
    </row>
    <row r="58" spans="1:20" ht="22" customHeight="1">
      <c r="A58" s="7" t="s">
        <v>26</v>
      </c>
      <c r="B58" s="7" t="s">
        <v>27</v>
      </c>
      <c r="C58" s="7" t="s">
        <v>545</v>
      </c>
      <c r="D58" s="7" t="s">
        <v>29</v>
      </c>
      <c r="E58" s="7" t="s">
        <v>30</v>
      </c>
      <c r="F58" s="8" t="s">
        <v>56</v>
      </c>
      <c r="G58" s="7" t="s">
        <v>546</v>
      </c>
      <c r="H58" s="7" t="s">
        <v>547</v>
      </c>
      <c r="I58" s="7" t="s">
        <v>548</v>
      </c>
      <c r="J58" s="7" t="s">
        <v>548</v>
      </c>
      <c r="K58" s="7" t="s">
        <v>549</v>
      </c>
      <c r="L58" s="7" t="s">
        <v>550</v>
      </c>
      <c r="M58" s="7" t="s">
        <v>62</v>
      </c>
      <c r="N58" s="7" t="s">
        <v>551</v>
      </c>
      <c r="O58" s="7" t="s">
        <v>552</v>
      </c>
      <c r="P58" s="7"/>
      <c r="Q58" s="7"/>
      <c r="R58" s="7"/>
      <c r="S58" s="7" t="s">
        <v>115</v>
      </c>
      <c r="T58" s="7" t="s">
        <v>553</v>
      </c>
    </row>
    <row r="59" spans="1:20" ht="22" customHeight="1">
      <c r="A59" s="5" t="s">
        <v>26</v>
      </c>
      <c r="B59" s="5" t="s">
        <v>27</v>
      </c>
      <c r="C59" s="5" t="s">
        <v>554</v>
      </c>
      <c r="D59" s="5" t="s">
        <v>555</v>
      </c>
      <c r="E59" s="5" t="s">
        <v>30</v>
      </c>
      <c r="F59" s="6" t="s">
        <v>44</v>
      </c>
      <c r="G59" s="5" t="s">
        <v>556</v>
      </c>
      <c r="H59" s="5" t="s">
        <v>557</v>
      </c>
      <c r="I59" s="5" t="s">
        <v>558</v>
      </c>
      <c r="J59" s="5" t="s">
        <v>558</v>
      </c>
      <c r="K59" s="5" t="s">
        <v>559</v>
      </c>
      <c r="L59" s="5" t="s">
        <v>560</v>
      </c>
      <c r="M59" s="5" t="s">
        <v>62</v>
      </c>
      <c r="N59" s="5" t="s">
        <v>561</v>
      </c>
      <c r="O59" s="5" t="s">
        <v>562</v>
      </c>
      <c r="P59" s="5"/>
      <c r="Q59" s="5"/>
      <c r="R59" s="5"/>
      <c r="S59" s="5" t="s">
        <v>188</v>
      </c>
      <c r="T59" s="5" t="s">
        <v>563</v>
      </c>
    </row>
    <row r="60" spans="1:20" ht="22" customHeight="1">
      <c r="A60" s="7" t="s">
        <v>26</v>
      </c>
      <c r="B60" s="7" t="s">
        <v>27</v>
      </c>
      <c r="C60" s="7" t="s">
        <v>564</v>
      </c>
      <c r="D60" s="7" t="s">
        <v>29</v>
      </c>
      <c r="E60" s="7" t="s">
        <v>30</v>
      </c>
      <c r="F60" s="8" t="s">
        <v>56</v>
      </c>
      <c r="G60" s="7" t="s">
        <v>565</v>
      </c>
      <c r="H60" s="7" t="s">
        <v>566</v>
      </c>
      <c r="I60" s="7" t="s">
        <v>567</v>
      </c>
      <c r="J60" s="7" t="s">
        <v>568</v>
      </c>
      <c r="K60" s="7" t="s">
        <v>569</v>
      </c>
      <c r="L60" s="7" t="s">
        <v>570</v>
      </c>
      <c r="M60" s="7" t="s">
        <v>62</v>
      </c>
      <c r="N60" s="7" t="s">
        <v>571</v>
      </c>
      <c r="O60" s="7" t="s">
        <v>572</v>
      </c>
      <c r="P60" s="7"/>
      <c r="Q60" s="7"/>
      <c r="R60" s="7"/>
      <c r="S60" s="7" t="s">
        <v>126</v>
      </c>
      <c r="T60" s="7" t="s">
        <v>573</v>
      </c>
    </row>
    <row r="61" spans="1:20" ht="22" customHeight="1">
      <c r="A61" s="10" t="s">
        <v>574</v>
      </c>
      <c r="B61" s="5" t="s">
        <v>27</v>
      </c>
      <c r="C61" s="5" t="s">
        <v>575</v>
      </c>
      <c r="D61" s="5" t="s">
        <v>29</v>
      </c>
      <c r="E61" s="5" t="s">
        <v>576</v>
      </c>
      <c r="F61" s="6" t="s">
        <v>577</v>
      </c>
      <c r="G61" s="5" t="s">
        <v>578</v>
      </c>
      <c r="H61" s="5" t="s">
        <v>579</v>
      </c>
      <c r="I61" s="5" t="s">
        <v>580</v>
      </c>
      <c r="J61" s="5" t="s">
        <v>580</v>
      </c>
      <c r="K61" s="5" t="s">
        <v>581</v>
      </c>
      <c r="L61" s="5" t="s">
        <v>582</v>
      </c>
      <c r="M61" s="5" t="s">
        <v>62</v>
      </c>
      <c r="N61" s="5" t="s">
        <v>583</v>
      </c>
      <c r="O61" s="5" t="s">
        <v>584</v>
      </c>
      <c r="P61" s="5" t="s">
        <v>585</v>
      </c>
      <c r="Q61" s="5"/>
      <c r="R61" s="5"/>
      <c r="S61" s="5" t="s">
        <v>40</v>
      </c>
      <c r="T61" s="5" t="s">
        <v>586</v>
      </c>
    </row>
  </sheetData>
  <mergeCells count="11">
    <mergeCell ref="A1:T1"/>
    <mergeCell ref="A3:B3"/>
    <mergeCell ref="A4:B4"/>
    <mergeCell ref="C3:D3"/>
    <mergeCell ref="C4:D4"/>
    <mergeCell ref="E3:F3"/>
    <mergeCell ref="E4:F4"/>
    <mergeCell ref="G3:H3"/>
    <mergeCell ref="G4:H4"/>
    <mergeCell ref="I3:J3"/>
    <mergeCell ref="I4:J4"/>
  </mergeCells>
  <dataValidations count="3">
    <dataValidation type="list" allowBlank="1" showInputMessage="1" showErrorMessage="1" sqref="A7:A61">
      <formula1>"Not Contacted,Called - No Answer,Gatekeeper / Callback,Voicemail + SMS Sent,Follow-up,Demo Booked,Closed Won,Disqualified / Do Not Call"</formula1>
    </dataValidation>
    <dataValidation type="list" allowBlank="1" showInputMessage="1" showErrorMessage="1" sqref="B7:B61">
      <formula1>"A - High (Sweet Spot / Fast Conversion),B - Medium (Commercial / Multi-Tech),C - Low / Disqualified"</formula1>
    </dataValidation>
    <dataValidation type="list" allowBlank="1" showInputMessage="1" showErrorMessage="1" sqref="M7:M61">
      <formula1>"Yes,Yes (Sponsored),No"</formula1>
    </dataValidation>
  </dataValidations>
  <hyperlinks>
    <hyperlink ref="L7" r:id="rId1"/>
    <hyperlink ref="L8" r:id="rId2"/>
    <hyperlink ref="L9" r:id="rId3"/>
    <hyperlink ref="L10" r:id="rId4"/>
    <hyperlink ref="L11" r:id="rId5"/>
    <hyperlink ref="L12" r:id="rId6"/>
    <hyperlink ref="L13" r:id="rId7"/>
    <hyperlink ref="L14" r:id="rId8"/>
    <hyperlink ref="L15" r:id="rId9"/>
    <hyperlink ref="L16" r:id="rId10"/>
    <hyperlink ref="L17" r:id="rId11"/>
    <hyperlink ref="L18" r:id="rId12"/>
    <hyperlink ref="L19" r:id="rId13"/>
    <hyperlink ref="L20" r:id="rId14"/>
    <hyperlink ref="L21" r:id="rId15"/>
    <hyperlink ref="L22" r:id="rId16"/>
    <hyperlink ref="L23" r:id="rId17"/>
    <hyperlink ref="L24" r:id="rId18"/>
    <hyperlink ref="L25" r:id="rId19"/>
    <hyperlink ref="L26" r:id="rId20"/>
    <hyperlink ref="L27" r:id="rId21"/>
    <hyperlink ref="L28" r:id="rId22"/>
    <hyperlink ref="L29" r:id="rId23"/>
    <hyperlink ref="L30" r:id="rId24"/>
    <hyperlink ref="L31" r:id="rId25"/>
    <hyperlink ref="L32" r:id="rId26"/>
    <hyperlink ref="L33" r:id="rId27"/>
    <hyperlink ref="L34" r:id="rId28"/>
    <hyperlink ref="L35" r:id="rId29"/>
    <hyperlink ref="L36" r:id="rId30"/>
    <hyperlink ref="L37" r:id="rId31"/>
    <hyperlink ref="L38" r:id="rId32"/>
    <hyperlink ref="L39" r:id="rId33"/>
    <hyperlink ref="L40" r:id="rId34"/>
    <hyperlink ref="L41" r:id="rId35"/>
    <hyperlink ref="L42" r:id="rId36"/>
    <hyperlink ref="L43" r:id="rId37"/>
    <hyperlink ref="L44" r:id="rId38"/>
    <hyperlink ref="L45" r:id="rId39"/>
    <hyperlink ref="L46" r:id="rId40"/>
    <hyperlink ref="L47" r:id="rId41"/>
    <hyperlink ref="L48" r:id="rId42"/>
    <hyperlink ref="L49" r:id="rId43"/>
    <hyperlink ref="L50" r:id="rId44"/>
    <hyperlink ref="L51" r:id="rId45"/>
    <hyperlink ref="L52" r:id="rId46"/>
    <hyperlink ref="L53" r:id="rId47"/>
    <hyperlink ref="L54" r:id="rId48"/>
    <hyperlink ref="L55" r:id="rId49"/>
    <hyperlink ref="L56" r:id="rId50"/>
    <hyperlink ref="L57" r:id="rId51"/>
    <hyperlink ref="L58" r:id="rId52"/>
    <hyperlink ref="L59" r:id="rId53"/>
    <hyperlink ref="L60" r:id="rId54"/>
    <hyperlink ref="L61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Hitlist Pipeline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2026-08-25T20:03:43Z</dcterms:created>
  <dcterms:modified xsi:type="dcterms:W3CDTF">2026-08-25T20:03:43Z</dcterms:modified>
</cp:coreProperties>
</file>