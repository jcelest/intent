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list Pipeline" sheetId="1" r:id="rId1"/>
  </sheets>
  <calcPr calcId="124519" fullCalcOnLoad="1"/>
</workbook>
</file>

<file path=xl/sharedStrings.xml><?xml version="1.0" encoding="utf-8"?>
<sst xmlns="http://schemas.openxmlformats.org/spreadsheetml/2006/main" count="348" uniqueCount="245">
  <si>
    <t>INTENT LEADNET - VERIFIED FLORIDA DBPR &amp; SUNBIZ HITLIST</t>
  </si>
  <si>
    <t>SPONSORED LEADS</t>
  </si>
  <si>
    <t>TIER A TARGETS</t>
  </si>
  <si>
    <t>DEMOS BOOKED</t>
  </si>
  <si>
    <t>CALLS MADE</t>
  </si>
  <si>
    <t>ACTIVE PIPELINE</t>
  </si>
  <si>
    <t>Status</t>
  </si>
  <si>
    <t>Priority Tier</t>
  </si>
  <si>
    <t>Company Name</t>
  </si>
  <si>
    <t>Trade</t>
  </si>
  <si>
    <t>City / Metro</t>
  </si>
  <si>
    <t>Verified Licensee / Owner (DBPR &amp; Sunbiz)</t>
  </si>
  <si>
    <t>State License # (CAC / CFC)</t>
  </si>
  <si>
    <t>Direct / Cell Phone</t>
  </si>
  <si>
    <t>Office / LSA Phone</t>
  </si>
  <si>
    <t>Email</t>
  </si>
  <si>
    <t>Website</t>
  </si>
  <si>
    <t>Running Google Ads?</t>
  </si>
  <si>
    <t>Google Rating / Reviews</t>
  </si>
  <si>
    <t>Speed to Lead Hook / Paid Ad Pain Point</t>
  </si>
  <si>
    <t>Dial 1 Outcome</t>
  </si>
  <si>
    <t>Dial 2 Outcome</t>
  </si>
  <si>
    <t>Demo Booked Date</t>
  </si>
  <si>
    <t>Est. System Value</t>
  </si>
  <si>
    <t>Notes / Next Action</t>
  </si>
  <si>
    <t>Not Contacted</t>
  </si>
  <si>
    <t>A - High (Sweet Spot / Fast Conversion)</t>
  </si>
  <si>
    <t>Top Tier Cooling</t>
  </si>
  <si>
    <t>HVAC</t>
  </si>
  <si>
    <t>Orlando, FL</t>
  </si>
  <si>
    <t>Jayson Javier Castanon (Qualifier) / Keenan Harris (CEO)</t>
  </si>
  <si>
    <t>CAC1824593</t>
  </si>
  <si>
    <t>(407) 499-6574</t>
  </si>
  <si>
    <t>info@toptier-cooling.com</t>
  </si>
  <si>
    <t>https://toptier-cooling.com</t>
  </si>
  <si>
    <t>Yes</t>
  </si>
  <si>
    <t>4.9 (63 reviews)</t>
  </si>
  <si>
    <t>Running Google LSA ads. Claims 24/7 emergency service with 63 reviews. Perfect owner-operator candidate for instant missed-call capture.</t>
  </si>
  <si>
    <t>$7,500</t>
  </si>
  <si>
    <t>Ask for Jayson or Keenan: 'Hey Jayson, it's regarding your emergency text-back setup in Orlando.'</t>
  </si>
  <si>
    <t>Gatekeeper / Callback</t>
  </si>
  <si>
    <t>One Stop Air Mechanical</t>
  </si>
  <si>
    <t>Sergio Rosas (President / Owner)</t>
  </si>
  <si>
    <t>CAC1821045</t>
  </si>
  <si>
    <t>(689) 331-0895</t>
  </si>
  <si>
    <t>(407) 633-4170</t>
  </si>
  <si>
    <t>service@onestopairmechanical.com</t>
  </si>
  <si>
    <t>https://www.onestopairmechanical.com</t>
  </si>
  <si>
    <t>5.0 (20 reviews)</t>
  </si>
  <si>
    <t>20 reviews, running active Google Ads. High-growth team needing automated lead capture.</t>
  </si>
  <si>
    <t>Called 8/22: Gatekeeper took message, said she'd pass to Sergio/boss. 24h passed with no callback.</t>
  </si>
  <si>
    <t>$6,000</t>
  </si>
  <si>
    <t>FOLLOW UP TODAY: 'Hey, checking back in for Sergio on that emergency text setup before I close the file.'</t>
  </si>
  <si>
    <t>Arctic Air Temp</t>
  </si>
  <si>
    <t>HVAC / Plumbing</t>
  </si>
  <si>
    <t>Orlando / Kissimmee, FL</t>
  </si>
  <si>
    <t>Fayfat Dias (Primary Licensee / Owner)</t>
  </si>
  <si>
    <t>CAC1822832 / CFC1432906</t>
  </si>
  <si>
    <t>(407) 633-5755</t>
  </si>
  <si>
    <t>info@arcticairtemp.com</t>
  </si>
  <si>
    <t>https://arcticairtemp.com</t>
  </si>
  <si>
    <t>5.0 (237 reviews)</t>
  </si>
  <si>
    <t>Google LSA badge shows 'Typically replies in 30 min'. During emergency calls, 30 min is too slow—LeadNet fires in 3 seconds.</t>
  </si>
  <si>
    <t>$8,500</t>
  </si>
  <si>
    <t>Ask for Fayfat: 'Hey Fayfat, I saw Google tells customers you reply in 30 mins—we can make that 3 seconds so you never lose an emergency swap.'</t>
  </si>
  <si>
    <t>Our Place Air &amp; Home Repair</t>
  </si>
  <si>
    <t>Nelson Zayas (Registered Agent / Mgr) / Charles Mixson</t>
  </si>
  <si>
    <t>CAC1819385</t>
  </si>
  <si>
    <t>(407) 499-3806</t>
  </si>
  <si>
    <t>contact@ourplaceair.com</t>
  </si>
  <si>
    <t>https://ourplaceair.com</t>
  </si>
  <si>
    <t>4.8 (2,274 reviews)</t>
  </si>
  <si>
    <t>24+ years in business, 24/7 service. LSA badge says 'Typically replies in 30 min'.</t>
  </si>
  <si>
    <t>Ask for Nelson: 'Hey Nelson, saw you running 24/7 ads—want to turn that 30-min reply delay into an instant priority intake.'</t>
  </si>
  <si>
    <t>Expert Home Service</t>
  </si>
  <si>
    <t>Orlando / Clermont, FL</t>
  </si>
  <si>
    <t>Scott W. Armstrong / Chris Armstrong (Managers)</t>
  </si>
  <si>
    <t>CAC1816599</t>
  </si>
  <si>
    <t>(352) 429-0750</t>
  </si>
  <si>
    <t>(813) 632-8889</t>
  </si>
  <si>
    <t>support@experthomeservice.com</t>
  </si>
  <si>
    <t>https://experthomeservice.com</t>
  </si>
  <si>
    <t>4.8 (604 reviews)</t>
  </si>
  <si>
    <t>Google LSA badge warns customers: 'Typically replies in 1 day' while they pay for top sponsored placement. Massive lead bleed.</t>
  </si>
  <si>
    <t>$9,000</t>
  </si>
  <si>
    <t>Ask for Scott / Chris: 'Google LSA says 1-day reply time on your ad. Homeowners hang up and call the next guy. We fix that in 10 mins.'</t>
  </si>
  <si>
    <t>The Right Service</t>
  </si>
  <si>
    <t>Roland Rodriguez / Blanca Ramirez (Officers)</t>
  </si>
  <si>
    <t>CAC1818721</t>
  </si>
  <si>
    <t>(561) 418-8381</t>
  </si>
  <si>
    <t>contact@therightservicefl.com</t>
  </si>
  <si>
    <t>https://therightservicefl.com</t>
  </si>
  <si>
    <t>4.4 (83 reviews)</t>
  </si>
  <si>
    <t>4.4 rating + 83 reviews. Needs automated 5-star Google review requests after service + missed-call text back.</t>
  </si>
  <si>
    <t>$6,500</t>
  </si>
  <si>
    <t>Ask for Roland: Pitch instant call-recovery + automatic Google Review generation.</t>
  </si>
  <si>
    <t>Hurricane Air Duct Cleaning &amp; HVAC</t>
  </si>
  <si>
    <t>HVAC / Ducting</t>
  </si>
  <si>
    <t>Joshua P. Bertocci (Manager / Owner)</t>
  </si>
  <si>
    <t>CAC1820119</t>
  </si>
  <si>
    <t>(941) 529-1072</t>
  </si>
  <si>
    <t>office@hurricaneairductcleaning.com</t>
  </si>
  <si>
    <t>https://hurricaneairductcleaning.com</t>
  </si>
  <si>
    <t>4.9 (572 reviews)</t>
  </si>
  <si>
    <t>LSA badge shows 'Typically replies in a few hours'. Open until 8 PM. Missing high-ticket weekend replacement leads.</t>
  </si>
  <si>
    <t>$5,500</t>
  </si>
  <si>
    <t>Ask for Joshua: Pitch weekend and evening automated text back.</t>
  </si>
  <si>
    <t>Air-Tech Mechanical</t>
  </si>
  <si>
    <t>Walter Joseph (Authorized Member / Manager)</t>
  </si>
  <si>
    <t>CAC1819744</t>
  </si>
  <si>
    <t>(561) 240-5273</t>
  </si>
  <si>
    <t>service@airtechmechanicalfl.com</t>
  </si>
  <si>
    <t>https://airtechmechanicalfl.com</t>
  </si>
  <si>
    <t>4.9 (291 reviews)</t>
  </si>
  <si>
    <t>5+ years in business, 24/7 emergency service ad. 291 reviews. Strong local operator.</t>
  </si>
  <si>
    <t>$7,000</t>
  </si>
  <si>
    <t>Ask for Walter: Pitch 24/7 on-call tech alert + instant customer intake link.</t>
  </si>
  <si>
    <t>Follow-up</t>
  </si>
  <si>
    <t>Ratti Air and Heat</t>
  </si>
  <si>
    <t>Orlando / Brevard, FL</t>
  </si>
  <si>
    <t>Gino A. Ratti III (President / Primary Qualifier)</t>
  </si>
  <si>
    <t>CAC1817290</t>
  </si>
  <si>
    <t>(321) 290-9840</t>
  </si>
  <si>
    <t>info@rattiairandheat.com</t>
  </si>
  <si>
    <t>https://rattiairandheat.com</t>
  </si>
  <si>
    <t>5.0 (772 reviews)</t>
  </si>
  <si>
    <t>772 reviews, open until 11:59 PM. High volume emergency calls.</t>
  </si>
  <si>
    <t>Called yesterday. Follow-up pending.</t>
  </si>
  <si>
    <t>$8,000</t>
  </si>
  <si>
    <t>Ask for Gino: FOLLOW-UP dial. If voicemail, send text hook immediately.</t>
  </si>
  <si>
    <t>Swift Brothers Plumbing, Heating &amp; Air</t>
  </si>
  <si>
    <t>Eric Swift / Scott Swift (Managers)</t>
  </si>
  <si>
    <t>CAC1819230</t>
  </si>
  <si>
    <t>(407) 499-8730</t>
  </si>
  <si>
    <t>info@swiftbrothers.com</t>
  </si>
  <si>
    <t>https://swiftbrothers.com</t>
  </si>
  <si>
    <t>4.3 (220 reviews)</t>
  </si>
  <si>
    <t>4.3 rating with active sponsored ads. Need review boost module to climb to 4.8+ and missed-call safety net.</t>
  </si>
  <si>
    <t>Ask for Eric / Scott: Pitch review generation + text back combo.</t>
  </si>
  <si>
    <t>Air Titans</t>
  </si>
  <si>
    <t>Joshua P. Bertocci / Brandon Fink (Owners)</t>
  </si>
  <si>
    <t>CAC1820455</t>
  </si>
  <si>
    <t>(407) 634-1246</t>
  </si>
  <si>
    <t>(786) 788-8268</t>
  </si>
  <si>
    <t>info@airtitans.com</t>
  </si>
  <si>
    <t>https://airtitans.com</t>
  </si>
  <si>
    <t>4.9 (2,852 reviews)</t>
  </si>
  <si>
    <t>LSA badge: 'Typically replies in a few hours'. Losing paid inbound ad clicks when call queues fill up.</t>
  </si>
  <si>
    <t>$9,500</t>
  </si>
  <si>
    <t>Ask for Josh / Brandon: Pitch instant automated SMS overflow queue.</t>
  </si>
  <si>
    <t>B - Medium (Scale / Multi-Tech)</t>
  </si>
  <si>
    <t>Mechanical One</t>
  </si>
  <si>
    <t>HVAC / Gas</t>
  </si>
  <si>
    <t>Carlos Rivero (Founder &amp; CEO)</t>
  </si>
  <si>
    <t>CAC1821430</t>
  </si>
  <si>
    <t>(407) 499-6275</t>
  </si>
  <si>
    <t>info@mechanicalone.com</t>
  </si>
  <si>
    <t>https://mechanicalone.com</t>
  </si>
  <si>
    <t>4.9 (2,566 reviews)</t>
  </si>
  <si>
    <t>Massive multi-trade volume. Peak hour call abandonment rate is where they bleed $10k+ weekly.</t>
  </si>
  <si>
    <t>$10,000</t>
  </si>
  <si>
    <t>Ask for Carlos Rivero / Ops VP: Non-intrusive overflow catch-net for abandoned calls.</t>
  </si>
  <si>
    <t>Iceberg Home Services</t>
  </si>
  <si>
    <t>Orlando / Polk County, FL</t>
  </si>
  <si>
    <t>Michael Ice / Scott Demers (Owners / Officers)</t>
  </si>
  <si>
    <t>CAC1818168</t>
  </si>
  <si>
    <t>(863) 210-2329</t>
  </si>
  <si>
    <t>service@iceberghomeservices.com</t>
  </si>
  <si>
    <t>https://iceberghomeservices.com</t>
  </si>
  <si>
    <t>4.7 (2,279 reviews)</t>
  </si>
  <si>
    <t>Full warranty, 24/7 emergency service. Heavy sponsored ad presence across Central Florida.</t>
  </si>
  <si>
    <t>Ask for Mike Ice / Scott: Catch missed calls during peak dispatch hours.</t>
  </si>
  <si>
    <t>Rainaldi Air Conditioning</t>
  </si>
  <si>
    <t>James Rainaldi / Frank Rainaldi (Founders / Qualifiers)</t>
  </si>
  <si>
    <t>CAC1814697</t>
  </si>
  <si>
    <t>(407) 633-4710</t>
  </si>
  <si>
    <t>info@rainaldi.com</t>
  </si>
  <si>
    <t>https://rainaldi.com</t>
  </si>
  <si>
    <t>4.8 (5,972 reviews)</t>
  </si>
  <si>
    <t>50+ years brand name. High ad budget, large dispatch team. Missed calls happen when lines are busy.</t>
  </si>
  <si>
    <t>$12,000</t>
  </si>
  <si>
    <t>Ask for James Rainaldi / GM: Tech alert dashboard and automated customer callback queuing.</t>
  </si>
  <si>
    <t>Frank's Air Conditioning</t>
  </si>
  <si>
    <t>Orlando / St. Cloud, FL</t>
  </si>
  <si>
    <t>Frank R. Smith (President / Qualifier)</t>
  </si>
  <si>
    <t>CAC057997</t>
  </si>
  <si>
    <t>(407) 892-0690</t>
  </si>
  <si>
    <t>info@franksair.com</t>
  </si>
  <si>
    <t>https://franksair.com</t>
  </si>
  <si>
    <t>4.9 (2,679 reviews)</t>
  </si>
  <si>
    <t>36+ years in business. Closes 10 PM. Overnight emergency calls often go unrecovered.</t>
  </si>
  <si>
    <t>Ask for Frank Smith: After-hours priority intake to lock down morning first-appointment slots.</t>
  </si>
  <si>
    <t>Ace Solves It All</t>
  </si>
  <si>
    <t>HVAC / Plumbing / Electric</t>
  </si>
  <si>
    <t>Charles R. DePari Jr. (Primary Qualifier / Founder)</t>
  </si>
  <si>
    <t>CAC1816543 / CFC057530</t>
  </si>
  <si>
    <t>(407) 993-1874</t>
  </si>
  <si>
    <t>info@acesolvesitall.com</t>
  </si>
  <si>
    <t>https://acesolvesitall.com</t>
  </si>
  <si>
    <t>4.7 (5,206 reviews)</t>
  </si>
  <si>
    <t>30+ years in business. 5,200+ reviews. Top 3 Google LSA advertiser in Central Florida.</t>
  </si>
  <si>
    <t>Ask for Charles DePari / GM: Reduce customer acquisition cost by recapturing 15-20 missed ad calls/week.</t>
  </si>
  <si>
    <t>American Air, Plumbing, and Electrical</t>
  </si>
  <si>
    <t>HVAC / Multi-Trade</t>
  </si>
  <si>
    <t>Edward Miller / Todd Miller (Founders / Qualifiers)</t>
  </si>
  <si>
    <t>CAC1813476</t>
  </si>
  <si>
    <t>(321) 290-9625</t>
  </si>
  <si>
    <t>contact@americanairfl.com</t>
  </si>
  <si>
    <t>https://americanairfl.com</t>
  </si>
  <si>
    <t>4.9 (10,285 reviews)</t>
  </si>
  <si>
    <t>LSA listing states 'Closes 3 PM'. Leads calling after 3 PM need immediate automated engagement.</t>
  </si>
  <si>
    <t>$15,000</t>
  </si>
  <si>
    <t>Ask for Todd Miller / GM: 'Your Google listing says Closes 3 PM—we capture all evening calls automatically.'</t>
  </si>
  <si>
    <t>Del-Air Heating, Air Conditioning</t>
  </si>
  <si>
    <t>Sanford / Orlando, FL</t>
  </si>
  <si>
    <t>Jay Leslie Wright (Primary Qualifier) / Robert Del-Air</t>
  </si>
  <si>
    <t>CAC021115 / CFC057524</t>
  </si>
  <si>
    <t>(407) 598-7733</t>
  </si>
  <si>
    <t>customercare@delair.com</t>
  </si>
  <si>
    <t>https://delair.com</t>
  </si>
  <si>
    <t>4.6 (6,294 reviews)</t>
  </si>
  <si>
    <t>Huge enterprise residential player. High call volume results in 10-15% abandoned call rates.</t>
  </si>
  <si>
    <t>Ask for Jay Wright / Call Center VP: Safety net for CSR call overflow.</t>
  </si>
  <si>
    <t>Frank Gay Services Air Conditioning</t>
  </si>
  <si>
    <t>Randel Dail Gibbons (Primary Qualifier) / Frank Gay</t>
  </si>
  <si>
    <t>CAC1818012 / CFC057283</t>
  </si>
  <si>
    <t>(407) 900-1175</t>
  </si>
  <si>
    <t>info@frankgayservices.com</t>
  </si>
  <si>
    <t>https://frankgayservices.com</t>
  </si>
  <si>
    <t>4.7 (14,994 reviews)</t>
  </si>
  <si>
    <t>Market leader with 15k reviews. Spends $20k+/mo on ads. Even 2% missed call rate is $50k+ in lost revenue.</t>
  </si>
  <si>
    <t>Ask for Randel Gibbons / Marketing VP: Catch missed ad revenue without changing their CRM.</t>
  </si>
  <si>
    <t>Disqualified</t>
  </si>
  <si>
    <t>C - Disqualified / Do Not Call</t>
  </si>
  <si>
    <t>Dittmer Air &amp; Heat</t>
  </si>
  <si>
    <t>William C. Dittmer (Primary Qualifier / Owner)</t>
  </si>
  <si>
    <t>CAC1816914</t>
  </si>
  <si>
    <t>(321) 290-9943</t>
  </si>
  <si>
    <t>info@dittmerairandheat.com</t>
  </si>
  <si>
    <t>https://dittmerairandheat.com</t>
  </si>
  <si>
    <t>4.6 (11 reviews)</t>
  </si>
  <si>
    <t>Small local contractor (11 reviews).</t>
  </si>
  <si>
    <t>Called 8/22: Owner/dispatcher explicitly stated to remove them from list.</t>
  </si>
  <si>
    <t>$0</t>
  </si>
  <si>
    <t>DO NOT CALL: Requested removal on 8/22.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</si>
</sst>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rgb="FF22D3EE"/>
      <name val="Segoe UI"/>
      <family val="2"/>
    </font>
    <font>
      <b/>
      <sz val="10"/>
      <color rgb="FFFFFFFF"/>
      <name val="Segoe UI"/>
      <family val="2"/>
    </font>
    <font>
      <b/>
      <sz val="13"/>
      <color rgb="FF22D3EE"/>
      <name val="Segoe UI"/>
      <family val="2"/>
    </font>
    <font>
      <b/>
      <sz val="10"/>
      <color rgb="FF000000"/>
      <name val="Segoe UI"/>
      <family val="2"/>
    </font>
    <font>
      <sz val="10"/>
      <color rgb="FF1E293B"/>
      <name val="Segoe UI"/>
      <family val="2"/>
    </font>
    <font>
      <b/>
      <sz val="10"/>
      <color rgb="FF92400E"/>
      <name val="Segoe UI"/>
      <family val="2"/>
    </font>
    <font>
      <b/>
      <sz val="10"/>
      <color rgb="FF1E40AF"/>
      <name val="Segoe UI"/>
      <family val="2"/>
    </font>
    <font>
      <b/>
      <sz val="10"/>
      <color rgb="FF991B1B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90D16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22D3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vertical="center"/>
    </xf>
    <xf numFmtId="0" fontId="7" fillId="9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ptier-cooling.com" TargetMode="External"/><Relationship Id="rId2" Type="http://schemas.openxmlformats.org/officeDocument/2006/relationships/hyperlink" Target="https://www.onestopairmechanical.com" TargetMode="External"/><Relationship Id="rId3" Type="http://schemas.openxmlformats.org/officeDocument/2006/relationships/hyperlink" Target="https://arcticairtemp.com" TargetMode="External"/><Relationship Id="rId4" Type="http://schemas.openxmlformats.org/officeDocument/2006/relationships/hyperlink" Target="https://ourplaceair.com" TargetMode="External"/><Relationship Id="rId5" Type="http://schemas.openxmlformats.org/officeDocument/2006/relationships/hyperlink" Target="https://experthomeservice.com" TargetMode="External"/><Relationship Id="rId6" Type="http://schemas.openxmlformats.org/officeDocument/2006/relationships/hyperlink" Target="https://therightservicefl.com" TargetMode="External"/><Relationship Id="rId7" Type="http://schemas.openxmlformats.org/officeDocument/2006/relationships/hyperlink" Target="https://hurricaneairductcleaning.com" TargetMode="External"/><Relationship Id="rId8" Type="http://schemas.openxmlformats.org/officeDocument/2006/relationships/hyperlink" Target="https://airtechmechanicalfl.com" TargetMode="External"/><Relationship Id="rId9" Type="http://schemas.openxmlformats.org/officeDocument/2006/relationships/hyperlink" Target="https://rattiairandheat.com" TargetMode="External"/><Relationship Id="rId10" Type="http://schemas.openxmlformats.org/officeDocument/2006/relationships/hyperlink" Target="https://swiftbrothers.com" TargetMode="External"/><Relationship Id="rId11" Type="http://schemas.openxmlformats.org/officeDocument/2006/relationships/hyperlink" Target="https://airtitans.com" TargetMode="External"/><Relationship Id="rId12" Type="http://schemas.openxmlformats.org/officeDocument/2006/relationships/hyperlink" Target="https://mechanicalone.com" TargetMode="External"/><Relationship Id="rId13" Type="http://schemas.openxmlformats.org/officeDocument/2006/relationships/hyperlink" Target="https://iceberghomeservices.com" TargetMode="External"/><Relationship Id="rId14" Type="http://schemas.openxmlformats.org/officeDocument/2006/relationships/hyperlink" Target="https://rainaldi.com" TargetMode="External"/><Relationship Id="rId15" Type="http://schemas.openxmlformats.org/officeDocument/2006/relationships/hyperlink" Target="https://franksair.com" TargetMode="External"/><Relationship Id="rId16" Type="http://schemas.openxmlformats.org/officeDocument/2006/relationships/hyperlink" Target="https://acesolvesitall.com" TargetMode="External"/><Relationship Id="rId17" Type="http://schemas.openxmlformats.org/officeDocument/2006/relationships/hyperlink" Target="https://americanairfl.com" TargetMode="External"/><Relationship Id="rId18" Type="http://schemas.openxmlformats.org/officeDocument/2006/relationships/hyperlink" Target="https://delair.com" TargetMode="External"/><Relationship Id="rId19" Type="http://schemas.openxmlformats.org/officeDocument/2006/relationships/hyperlink" Target="https://frankgayservices.com" TargetMode="External"/><Relationship Id="rId20" Type="http://schemas.openxmlformats.org/officeDocument/2006/relationships/hyperlink" Target="https://dittmerairandhea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16.7109375" customWidth="1"/>
    <col min="5" max="5" width="18.7109375" customWidth="1"/>
    <col min="6" max="6" width="32.7109375" customWidth="1"/>
    <col min="7" max="7" width="20.7109375" customWidth="1"/>
    <col min="8" max="9" width="18.7109375" customWidth="1"/>
    <col min="10" max="10" width="26.7109375" customWidth="1"/>
    <col min="11" max="11" width="24.7109375" customWidth="1"/>
    <col min="12" max="12" width="18.7109375" customWidth="1"/>
    <col min="13" max="13" width="22.7109375" customWidth="1"/>
    <col min="14" max="14" width="44.7109375" customWidth="1"/>
    <col min="15" max="15" width="30.7109375" customWidth="1"/>
    <col min="16" max="16" width="24.7109375" customWidth="1"/>
    <col min="17" max="17" width="18.7109375" customWidth="1"/>
    <col min="18" max="18" width="16.7109375" customWidth="1"/>
    <col min="19" max="19" width="38.7109375" customWidth="1"/>
  </cols>
  <sheetData>
    <row r="1" spans="1:1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  <c r="I3" s="2" t="s">
        <v>5</v>
      </c>
      <c r="J3" s="2"/>
    </row>
    <row r="4" spans="1:19">
      <c r="A4" s="3">
        <f>COUNTA(C7:C200)</f>
        <v>0</v>
      </c>
      <c r="B4" s="3"/>
      <c r="C4" s="3">
        <f>COUNTIF(B7:B200, "A*")</f>
        <v>0</v>
      </c>
      <c r="D4" s="3"/>
      <c r="E4" s="3">
        <f>COUNTIF(A7:A200, "Demo Booked")</f>
        <v>0</v>
      </c>
      <c r="F4" s="3"/>
      <c r="G4" s="3">
        <f>COUNTIF(A7:A200, "&lt;&gt;Not Contacted") - COUNTBLANK(A7:A200)</f>
        <v>0</v>
      </c>
      <c r="H4" s="3"/>
      <c r="I4" s="3">
        <f>COUNTIF(A7:A200, "Gatekeeper*") + COUNTIF(A7:A200, "Follow-up")</f>
        <v>0</v>
      </c>
      <c r="J4" s="3"/>
    </row>
    <row r="6" spans="1:19" ht="28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24</v>
      </c>
    </row>
    <row r="7" spans="1:19" ht="22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32</v>
      </c>
      <c r="J7" s="5" t="s">
        <v>33</v>
      </c>
      <c r="K7" s="5" t="s">
        <v>34</v>
      </c>
      <c r="L7" s="5" t="s">
        <v>35</v>
      </c>
      <c r="M7" s="5" t="s">
        <v>36</v>
      </c>
      <c r="N7" s="5" t="s">
        <v>37</v>
      </c>
      <c r="O7" s="5"/>
      <c r="P7" s="5"/>
      <c r="Q7" s="5"/>
      <c r="R7" s="5" t="s">
        <v>38</v>
      </c>
      <c r="S7" s="5" t="s">
        <v>39</v>
      </c>
    </row>
    <row r="8" spans="1:19" ht="22" customHeight="1">
      <c r="A8" s="6" t="s">
        <v>40</v>
      </c>
      <c r="B8" s="7" t="s">
        <v>26</v>
      </c>
      <c r="C8" s="7" t="s">
        <v>41</v>
      </c>
      <c r="D8" s="7" t="s">
        <v>28</v>
      </c>
      <c r="E8" s="7" t="s">
        <v>29</v>
      </c>
      <c r="F8" s="7" t="s">
        <v>42</v>
      </c>
      <c r="G8" s="7" t="s">
        <v>43</v>
      </c>
      <c r="H8" s="7" t="s">
        <v>44</v>
      </c>
      <c r="I8" s="7" t="s">
        <v>45</v>
      </c>
      <c r="J8" s="7" t="s">
        <v>46</v>
      </c>
      <c r="K8" s="7" t="s">
        <v>47</v>
      </c>
      <c r="L8" s="7" t="s">
        <v>35</v>
      </c>
      <c r="M8" s="7" t="s">
        <v>48</v>
      </c>
      <c r="N8" s="7" t="s">
        <v>49</v>
      </c>
      <c r="O8" s="7" t="s">
        <v>50</v>
      </c>
      <c r="P8" s="7"/>
      <c r="Q8" s="7"/>
      <c r="R8" s="7" t="s">
        <v>51</v>
      </c>
      <c r="S8" s="7" t="s">
        <v>52</v>
      </c>
    </row>
    <row r="9" spans="1:19" ht="22" customHeight="1">
      <c r="A9" s="5" t="s">
        <v>25</v>
      </c>
      <c r="B9" s="5" t="s">
        <v>26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5" t="s">
        <v>58</v>
      </c>
      <c r="J9" s="5" t="s">
        <v>59</v>
      </c>
      <c r="K9" s="5" t="s">
        <v>60</v>
      </c>
      <c r="L9" s="5" t="s">
        <v>35</v>
      </c>
      <c r="M9" s="5" t="s">
        <v>61</v>
      </c>
      <c r="N9" s="5" t="s">
        <v>62</v>
      </c>
      <c r="O9" s="5"/>
      <c r="P9" s="5"/>
      <c r="Q9" s="5"/>
      <c r="R9" s="5" t="s">
        <v>63</v>
      </c>
      <c r="S9" s="5" t="s">
        <v>64</v>
      </c>
    </row>
    <row r="10" spans="1:19" ht="22" customHeight="1">
      <c r="A10" s="7" t="s">
        <v>25</v>
      </c>
      <c r="B10" s="7" t="s">
        <v>26</v>
      </c>
      <c r="C10" s="7" t="s">
        <v>65</v>
      </c>
      <c r="D10" s="7" t="s">
        <v>28</v>
      </c>
      <c r="E10" s="7" t="s">
        <v>29</v>
      </c>
      <c r="F10" s="7" t="s">
        <v>66</v>
      </c>
      <c r="G10" s="7" t="s">
        <v>67</v>
      </c>
      <c r="H10" s="7" t="s">
        <v>68</v>
      </c>
      <c r="I10" s="7" t="s">
        <v>68</v>
      </c>
      <c r="J10" s="7" t="s">
        <v>69</v>
      </c>
      <c r="K10" s="7" t="s">
        <v>70</v>
      </c>
      <c r="L10" s="7" t="s">
        <v>35</v>
      </c>
      <c r="M10" s="7" t="s">
        <v>71</v>
      </c>
      <c r="N10" s="7" t="s">
        <v>72</v>
      </c>
      <c r="O10" s="7"/>
      <c r="P10" s="7"/>
      <c r="Q10" s="7"/>
      <c r="R10" s="7" t="s">
        <v>63</v>
      </c>
      <c r="S10" s="7" t="s">
        <v>73</v>
      </c>
    </row>
    <row r="11" spans="1:19" ht="22" customHeight="1">
      <c r="A11" s="5" t="s">
        <v>25</v>
      </c>
      <c r="B11" s="5" t="s">
        <v>26</v>
      </c>
      <c r="C11" s="5" t="s">
        <v>74</v>
      </c>
      <c r="D11" s="5" t="s">
        <v>28</v>
      </c>
      <c r="E11" s="5" t="s">
        <v>75</v>
      </c>
      <c r="F11" s="5" t="s">
        <v>76</v>
      </c>
      <c r="G11" s="5" t="s">
        <v>77</v>
      </c>
      <c r="H11" s="5" t="s">
        <v>78</v>
      </c>
      <c r="I11" s="5" t="s">
        <v>79</v>
      </c>
      <c r="J11" s="5" t="s">
        <v>80</v>
      </c>
      <c r="K11" s="5" t="s">
        <v>81</v>
      </c>
      <c r="L11" s="5" t="s">
        <v>35</v>
      </c>
      <c r="M11" s="5" t="s">
        <v>82</v>
      </c>
      <c r="N11" s="5" t="s">
        <v>83</v>
      </c>
      <c r="O11" s="5"/>
      <c r="P11" s="5"/>
      <c r="Q11" s="5"/>
      <c r="R11" s="5" t="s">
        <v>84</v>
      </c>
      <c r="S11" s="5" t="s">
        <v>85</v>
      </c>
    </row>
    <row r="12" spans="1:19" ht="22" customHeight="1">
      <c r="A12" s="7" t="s">
        <v>25</v>
      </c>
      <c r="B12" s="7" t="s">
        <v>26</v>
      </c>
      <c r="C12" s="7" t="s">
        <v>86</v>
      </c>
      <c r="D12" s="7" t="s">
        <v>28</v>
      </c>
      <c r="E12" s="7" t="s">
        <v>29</v>
      </c>
      <c r="F12" s="7" t="s">
        <v>87</v>
      </c>
      <c r="G12" s="7" t="s">
        <v>88</v>
      </c>
      <c r="H12" s="7" t="s">
        <v>89</v>
      </c>
      <c r="I12" s="7" t="s">
        <v>89</v>
      </c>
      <c r="J12" s="7" t="s">
        <v>90</v>
      </c>
      <c r="K12" s="7" t="s">
        <v>91</v>
      </c>
      <c r="L12" s="7" t="s">
        <v>35</v>
      </c>
      <c r="M12" s="7" t="s">
        <v>92</v>
      </c>
      <c r="N12" s="7" t="s">
        <v>93</v>
      </c>
      <c r="O12" s="7"/>
      <c r="P12" s="7"/>
      <c r="Q12" s="7"/>
      <c r="R12" s="7" t="s">
        <v>94</v>
      </c>
      <c r="S12" s="7" t="s">
        <v>95</v>
      </c>
    </row>
    <row r="13" spans="1:19" ht="22" customHeight="1">
      <c r="A13" s="5" t="s">
        <v>25</v>
      </c>
      <c r="B13" s="5" t="s">
        <v>26</v>
      </c>
      <c r="C13" s="5" t="s">
        <v>96</v>
      </c>
      <c r="D13" s="5" t="s">
        <v>97</v>
      </c>
      <c r="E13" s="5" t="s">
        <v>29</v>
      </c>
      <c r="F13" s="5" t="s">
        <v>98</v>
      </c>
      <c r="G13" s="5" t="s">
        <v>99</v>
      </c>
      <c r="H13" s="5" t="s">
        <v>100</v>
      </c>
      <c r="I13" s="5" t="s">
        <v>100</v>
      </c>
      <c r="J13" s="5" t="s">
        <v>101</v>
      </c>
      <c r="K13" s="5" t="s">
        <v>102</v>
      </c>
      <c r="L13" s="5" t="s">
        <v>35</v>
      </c>
      <c r="M13" s="5" t="s">
        <v>103</v>
      </c>
      <c r="N13" s="5" t="s">
        <v>104</v>
      </c>
      <c r="O13" s="5"/>
      <c r="P13" s="5"/>
      <c r="Q13" s="5"/>
      <c r="R13" s="5" t="s">
        <v>105</v>
      </c>
      <c r="S13" s="5" t="s">
        <v>106</v>
      </c>
    </row>
    <row r="14" spans="1:19" ht="22" customHeight="1">
      <c r="A14" s="7" t="s">
        <v>25</v>
      </c>
      <c r="B14" s="7" t="s">
        <v>26</v>
      </c>
      <c r="C14" s="7" t="s">
        <v>107</v>
      </c>
      <c r="D14" s="7" t="s">
        <v>28</v>
      </c>
      <c r="E14" s="7" t="s">
        <v>29</v>
      </c>
      <c r="F14" s="7" t="s">
        <v>108</v>
      </c>
      <c r="G14" s="7" t="s">
        <v>109</v>
      </c>
      <c r="H14" s="7" t="s">
        <v>110</v>
      </c>
      <c r="I14" s="7" t="s">
        <v>110</v>
      </c>
      <c r="J14" s="7" t="s">
        <v>111</v>
      </c>
      <c r="K14" s="7" t="s">
        <v>112</v>
      </c>
      <c r="L14" s="7" t="s">
        <v>35</v>
      </c>
      <c r="M14" s="7" t="s">
        <v>113</v>
      </c>
      <c r="N14" s="7" t="s">
        <v>114</v>
      </c>
      <c r="O14" s="7"/>
      <c r="P14" s="7"/>
      <c r="Q14" s="7"/>
      <c r="R14" s="7" t="s">
        <v>115</v>
      </c>
      <c r="S14" s="7" t="s">
        <v>116</v>
      </c>
    </row>
    <row r="15" spans="1:19" ht="22" customHeight="1">
      <c r="A15" s="8" t="s">
        <v>117</v>
      </c>
      <c r="B15" s="5" t="s">
        <v>26</v>
      </c>
      <c r="C15" s="5" t="s">
        <v>118</v>
      </c>
      <c r="D15" s="5" t="s">
        <v>28</v>
      </c>
      <c r="E15" s="5" t="s">
        <v>119</v>
      </c>
      <c r="F15" s="5" t="s">
        <v>120</v>
      </c>
      <c r="G15" s="5" t="s">
        <v>121</v>
      </c>
      <c r="H15" s="5" t="s">
        <v>122</v>
      </c>
      <c r="I15" s="5" t="s">
        <v>122</v>
      </c>
      <c r="J15" s="5" t="s">
        <v>123</v>
      </c>
      <c r="K15" s="5" t="s">
        <v>124</v>
      </c>
      <c r="L15" s="5" t="s">
        <v>35</v>
      </c>
      <c r="M15" s="5" t="s">
        <v>125</v>
      </c>
      <c r="N15" s="5" t="s">
        <v>126</v>
      </c>
      <c r="O15" s="5" t="s">
        <v>127</v>
      </c>
      <c r="P15" s="5"/>
      <c r="Q15" s="5"/>
      <c r="R15" s="5" t="s">
        <v>128</v>
      </c>
      <c r="S15" s="5" t="s">
        <v>129</v>
      </c>
    </row>
    <row r="16" spans="1:19" ht="22" customHeight="1">
      <c r="A16" s="7" t="s">
        <v>25</v>
      </c>
      <c r="B16" s="7" t="s">
        <v>26</v>
      </c>
      <c r="C16" s="7" t="s">
        <v>130</v>
      </c>
      <c r="D16" s="7" t="s">
        <v>54</v>
      </c>
      <c r="E16" s="7" t="s">
        <v>29</v>
      </c>
      <c r="F16" s="7" t="s">
        <v>131</v>
      </c>
      <c r="G16" s="7" t="s">
        <v>132</v>
      </c>
      <c r="H16" s="7" t="s">
        <v>133</v>
      </c>
      <c r="I16" s="7" t="s">
        <v>133</v>
      </c>
      <c r="J16" s="7" t="s">
        <v>134</v>
      </c>
      <c r="K16" s="7" t="s">
        <v>135</v>
      </c>
      <c r="L16" s="7" t="s">
        <v>35</v>
      </c>
      <c r="M16" s="7" t="s">
        <v>136</v>
      </c>
      <c r="N16" s="7" t="s">
        <v>137</v>
      </c>
      <c r="O16" s="7"/>
      <c r="P16" s="7"/>
      <c r="Q16" s="7"/>
      <c r="R16" s="7" t="s">
        <v>38</v>
      </c>
      <c r="S16" s="7" t="s">
        <v>138</v>
      </c>
    </row>
    <row r="17" spans="1:19" ht="22" customHeight="1">
      <c r="A17" s="5" t="s">
        <v>25</v>
      </c>
      <c r="B17" s="5" t="s">
        <v>26</v>
      </c>
      <c r="C17" s="5" t="s">
        <v>139</v>
      </c>
      <c r="D17" s="5" t="s">
        <v>28</v>
      </c>
      <c r="E17" s="5" t="s">
        <v>29</v>
      </c>
      <c r="F17" s="5" t="s">
        <v>140</v>
      </c>
      <c r="G17" s="5" t="s">
        <v>141</v>
      </c>
      <c r="H17" s="5" t="s">
        <v>142</v>
      </c>
      <c r="I17" s="5" t="s">
        <v>143</v>
      </c>
      <c r="J17" s="5" t="s">
        <v>144</v>
      </c>
      <c r="K17" s="5" t="s">
        <v>145</v>
      </c>
      <c r="L17" s="5" t="s">
        <v>35</v>
      </c>
      <c r="M17" s="5" t="s">
        <v>146</v>
      </c>
      <c r="N17" s="5" t="s">
        <v>147</v>
      </c>
      <c r="O17" s="5"/>
      <c r="P17" s="5"/>
      <c r="Q17" s="5"/>
      <c r="R17" s="5" t="s">
        <v>148</v>
      </c>
      <c r="S17" s="5" t="s">
        <v>149</v>
      </c>
    </row>
    <row r="18" spans="1:19" ht="22" customHeight="1">
      <c r="A18" s="7" t="s">
        <v>25</v>
      </c>
      <c r="B18" s="7" t="s">
        <v>150</v>
      </c>
      <c r="C18" s="7" t="s">
        <v>151</v>
      </c>
      <c r="D18" s="7" t="s">
        <v>152</v>
      </c>
      <c r="E18" s="7" t="s">
        <v>29</v>
      </c>
      <c r="F18" s="7" t="s">
        <v>153</v>
      </c>
      <c r="G18" s="7" t="s">
        <v>154</v>
      </c>
      <c r="H18" s="7" t="s">
        <v>155</v>
      </c>
      <c r="I18" s="7" t="s">
        <v>155</v>
      </c>
      <c r="J18" s="7" t="s">
        <v>156</v>
      </c>
      <c r="K18" s="7" t="s">
        <v>157</v>
      </c>
      <c r="L18" s="7" t="s">
        <v>35</v>
      </c>
      <c r="M18" s="7" t="s">
        <v>158</v>
      </c>
      <c r="N18" s="7" t="s">
        <v>159</v>
      </c>
      <c r="O18" s="7"/>
      <c r="P18" s="7"/>
      <c r="Q18" s="7"/>
      <c r="R18" s="7" t="s">
        <v>160</v>
      </c>
      <c r="S18" s="7" t="s">
        <v>161</v>
      </c>
    </row>
    <row r="19" spans="1:19" ht="22" customHeight="1">
      <c r="A19" s="5" t="s">
        <v>25</v>
      </c>
      <c r="B19" s="5" t="s">
        <v>150</v>
      </c>
      <c r="C19" s="5" t="s">
        <v>162</v>
      </c>
      <c r="D19" s="5" t="s">
        <v>54</v>
      </c>
      <c r="E19" s="5" t="s">
        <v>163</v>
      </c>
      <c r="F19" s="5" t="s">
        <v>164</v>
      </c>
      <c r="G19" s="5" t="s">
        <v>165</v>
      </c>
      <c r="H19" s="5" t="s">
        <v>166</v>
      </c>
      <c r="I19" s="5" t="s">
        <v>166</v>
      </c>
      <c r="J19" s="5" t="s">
        <v>167</v>
      </c>
      <c r="K19" s="5" t="s">
        <v>168</v>
      </c>
      <c r="L19" s="5" t="s">
        <v>35</v>
      </c>
      <c r="M19" s="5" t="s">
        <v>169</v>
      </c>
      <c r="N19" s="5" t="s">
        <v>170</v>
      </c>
      <c r="O19" s="5"/>
      <c r="P19" s="5"/>
      <c r="Q19" s="5"/>
      <c r="R19" s="5" t="s">
        <v>84</v>
      </c>
      <c r="S19" s="5" t="s">
        <v>171</v>
      </c>
    </row>
    <row r="20" spans="1:19" ht="22" customHeight="1">
      <c r="A20" s="7" t="s">
        <v>25</v>
      </c>
      <c r="B20" s="7" t="s">
        <v>150</v>
      </c>
      <c r="C20" s="7" t="s">
        <v>172</v>
      </c>
      <c r="D20" s="7" t="s">
        <v>28</v>
      </c>
      <c r="E20" s="7" t="s">
        <v>29</v>
      </c>
      <c r="F20" s="7" t="s">
        <v>173</v>
      </c>
      <c r="G20" s="7" t="s">
        <v>174</v>
      </c>
      <c r="H20" s="7" t="s">
        <v>175</v>
      </c>
      <c r="I20" s="7" t="s">
        <v>175</v>
      </c>
      <c r="J20" s="7" t="s">
        <v>176</v>
      </c>
      <c r="K20" s="7" t="s">
        <v>177</v>
      </c>
      <c r="L20" s="7" t="s">
        <v>35</v>
      </c>
      <c r="M20" s="7" t="s">
        <v>178</v>
      </c>
      <c r="N20" s="7" t="s">
        <v>179</v>
      </c>
      <c r="O20" s="7"/>
      <c r="P20" s="7"/>
      <c r="Q20" s="7"/>
      <c r="R20" s="7" t="s">
        <v>180</v>
      </c>
      <c r="S20" s="7" t="s">
        <v>181</v>
      </c>
    </row>
    <row r="21" spans="1:19" ht="22" customHeight="1">
      <c r="A21" s="5" t="s">
        <v>25</v>
      </c>
      <c r="B21" s="5" t="s">
        <v>150</v>
      </c>
      <c r="C21" s="5" t="s">
        <v>182</v>
      </c>
      <c r="D21" s="5" t="s">
        <v>28</v>
      </c>
      <c r="E21" s="5" t="s">
        <v>183</v>
      </c>
      <c r="F21" s="5" t="s">
        <v>184</v>
      </c>
      <c r="G21" s="5" t="s">
        <v>185</v>
      </c>
      <c r="H21" s="5" t="s">
        <v>186</v>
      </c>
      <c r="I21" s="5" t="s">
        <v>186</v>
      </c>
      <c r="J21" s="5" t="s">
        <v>187</v>
      </c>
      <c r="K21" s="5" t="s">
        <v>188</v>
      </c>
      <c r="L21" s="5" t="s">
        <v>35</v>
      </c>
      <c r="M21" s="5" t="s">
        <v>189</v>
      </c>
      <c r="N21" s="5" t="s">
        <v>190</v>
      </c>
      <c r="O21" s="5"/>
      <c r="P21" s="5"/>
      <c r="Q21" s="5"/>
      <c r="R21" s="5" t="s">
        <v>63</v>
      </c>
      <c r="S21" s="5" t="s">
        <v>191</v>
      </c>
    </row>
    <row r="22" spans="1:19" ht="22" customHeight="1">
      <c r="A22" s="7" t="s">
        <v>25</v>
      </c>
      <c r="B22" s="7" t="s">
        <v>150</v>
      </c>
      <c r="C22" s="7" t="s">
        <v>192</v>
      </c>
      <c r="D22" s="7" t="s">
        <v>193</v>
      </c>
      <c r="E22" s="7" t="s">
        <v>55</v>
      </c>
      <c r="F22" s="7" t="s">
        <v>194</v>
      </c>
      <c r="G22" s="7" t="s">
        <v>195</v>
      </c>
      <c r="H22" s="7" t="s">
        <v>196</v>
      </c>
      <c r="I22" s="7" t="s">
        <v>196</v>
      </c>
      <c r="J22" s="7" t="s">
        <v>197</v>
      </c>
      <c r="K22" s="7" t="s">
        <v>198</v>
      </c>
      <c r="L22" s="7" t="s">
        <v>35</v>
      </c>
      <c r="M22" s="7" t="s">
        <v>199</v>
      </c>
      <c r="N22" s="7" t="s">
        <v>200</v>
      </c>
      <c r="O22" s="7"/>
      <c r="P22" s="7"/>
      <c r="Q22" s="7"/>
      <c r="R22" s="7" t="s">
        <v>180</v>
      </c>
      <c r="S22" s="7" t="s">
        <v>201</v>
      </c>
    </row>
    <row r="23" spans="1:19" ht="22" customHeight="1">
      <c r="A23" s="5" t="s">
        <v>25</v>
      </c>
      <c r="B23" s="5" t="s">
        <v>150</v>
      </c>
      <c r="C23" s="5" t="s">
        <v>202</v>
      </c>
      <c r="D23" s="5" t="s">
        <v>203</v>
      </c>
      <c r="E23" s="5" t="s">
        <v>29</v>
      </c>
      <c r="F23" s="5" t="s">
        <v>204</v>
      </c>
      <c r="G23" s="5" t="s">
        <v>205</v>
      </c>
      <c r="H23" s="5" t="s">
        <v>206</v>
      </c>
      <c r="I23" s="5" t="s">
        <v>206</v>
      </c>
      <c r="J23" s="5" t="s">
        <v>207</v>
      </c>
      <c r="K23" s="5" t="s">
        <v>208</v>
      </c>
      <c r="L23" s="5" t="s">
        <v>35</v>
      </c>
      <c r="M23" s="5" t="s">
        <v>209</v>
      </c>
      <c r="N23" s="5" t="s">
        <v>210</v>
      </c>
      <c r="O23" s="5"/>
      <c r="P23" s="5"/>
      <c r="Q23" s="5"/>
      <c r="R23" s="5" t="s">
        <v>211</v>
      </c>
      <c r="S23" s="5" t="s">
        <v>212</v>
      </c>
    </row>
    <row r="24" spans="1:19" ht="22" customHeight="1">
      <c r="A24" s="7" t="s">
        <v>25</v>
      </c>
      <c r="B24" s="7" t="s">
        <v>150</v>
      </c>
      <c r="C24" s="7" t="s">
        <v>213</v>
      </c>
      <c r="D24" s="7" t="s">
        <v>193</v>
      </c>
      <c r="E24" s="7" t="s">
        <v>214</v>
      </c>
      <c r="F24" s="7" t="s">
        <v>215</v>
      </c>
      <c r="G24" s="7" t="s">
        <v>216</v>
      </c>
      <c r="H24" s="7" t="s">
        <v>217</v>
      </c>
      <c r="I24" s="7" t="s">
        <v>217</v>
      </c>
      <c r="J24" s="7" t="s">
        <v>218</v>
      </c>
      <c r="K24" s="7" t="s">
        <v>219</v>
      </c>
      <c r="L24" s="7" t="s">
        <v>35</v>
      </c>
      <c r="M24" s="7" t="s">
        <v>220</v>
      </c>
      <c r="N24" s="7" t="s">
        <v>221</v>
      </c>
      <c r="O24" s="7"/>
      <c r="P24" s="7"/>
      <c r="Q24" s="7"/>
      <c r="R24" s="7" t="s">
        <v>211</v>
      </c>
      <c r="S24" s="7" t="s">
        <v>222</v>
      </c>
    </row>
    <row r="25" spans="1:19" ht="22" customHeight="1">
      <c r="A25" s="5" t="s">
        <v>25</v>
      </c>
      <c r="B25" s="5" t="s">
        <v>150</v>
      </c>
      <c r="C25" s="5" t="s">
        <v>223</v>
      </c>
      <c r="D25" s="5" t="s">
        <v>203</v>
      </c>
      <c r="E25" s="5" t="s">
        <v>29</v>
      </c>
      <c r="F25" s="5" t="s">
        <v>224</v>
      </c>
      <c r="G25" s="5" t="s">
        <v>225</v>
      </c>
      <c r="H25" s="5" t="s">
        <v>226</v>
      </c>
      <c r="I25" s="5" t="s">
        <v>226</v>
      </c>
      <c r="J25" s="5" t="s">
        <v>227</v>
      </c>
      <c r="K25" s="5" t="s">
        <v>228</v>
      </c>
      <c r="L25" s="5" t="s">
        <v>35</v>
      </c>
      <c r="M25" s="5" t="s">
        <v>229</v>
      </c>
      <c r="N25" s="5" t="s">
        <v>230</v>
      </c>
      <c r="O25" s="5"/>
      <c r="P25" s="5"/>
      <c r="Q25" s="5"/>
      <c r="R25" s="5" t="s">
        <v>211</v>
      </c>
      <c r="S25" s="5" t="s">
        <v>231</v>
      </c>
    </row>
    <row r="26" spans="1:19" ht="22" customHeight="1">
      <c r="A26" s="9" t="s">
        <v>232</v>
      </c>
      <c r="B26" s="7" t="s">
        <v>233</v>
      </c>
      <c r="C26" s="7" t="s">
        <v>234</v>
      </c>
      <c r="D26" s="7" t="s">
        <v>28</v>
      </c>
      <c r="E26" s="7" t="s">
        <v>119</v>
      </c>
      <c r="F26" s="7" t="s">
        <v>235</v>
      </c>
      <c r="G26" s="7" t="s">
        <v>236</v>
      </c>
      <c r="H26" s="7" t="s">
        <v>237</v>
      </c>
      <c r="I26" s="7" t="s">
        <v>237</v>
      </c>
      <c r="J26" s="7" t="s">
        <v>238</v>
      </c>
      <c r="K26" s="7" t="s">
        <v>239</v>
      </c>
      <c r="L26" s="7" t="s">
        <v>35</v>
      </c>
      <c r="M26" s="7" t="s">
        <v>240</v>
      </c>
      <c r="N26" s="7" t="s">
        <v>241</v>
      </c>
      <c r="O26" s="7" t="s">
        <v>242</v>
      </c>
      <c r="P26" s="7"/>
      <c r="Q26" s="7"/>
      <c r="R26" s="7" t="s">
        <v>243</v>
      </c>
      <c r="S26" s="7" t="s">
        <v>244</v>
      </c>
    </row>
  </sheetData>
  <mergeCells count="11">
    <mergeCell ref="A1:S1"/>
    <mergeCell ref="A3:B3"/>
    <mergeCell ref="A4:B4"/>
    <mergeCell ref="C3:D3"/>
    <mergeCell ref="C4:D4"/>
    <mergeCell ref="E3:F3"/>
    <mergeCell ref="E4:F4"/>
    <mergeCell ref="G3:H3"/>
    <mergeCell ref="G4:H4"/>
    <mergeCell ref="I3:J3"/>
    <mergeCell ref="I4:J4"/>
  </mergeCells>
  <dataValidations count="3">
    <dataValidation type="list" allowBlank="1" showInputMessage="1" showErrorMessage="1" sqref="A7:A200">
      <formula1>"Not Contacted,Called - No Answer,SMS Sent,Gatekeeper / Callback,Follow-up,Demo Booked,Closed Won,Disqualified"</formula1>
    </dataValidation>
    <dataValidation type="list" allowBlank="1" showInputMessage="1" showErrorMessage="1" sqref="B7:B200">
      <formula1>"A - High (Sweet Spot / Fast Conversion),B - Medium (Scale / Multi-Tech),C - Disqualified / Do Not Call"</formula1>
    </dataValidation>
    <dataValidation type="list" allowBlank="1" showInputMessage="1" showErrorMessage="1" sqref="L7:L200">
      <formula1>"Yes,No"</formula1>
    </dataValidation>
  </dataValidations>
  <hyperlinks>
    <hyperlink ref="K7" r:id="rId1"/>
    <hyperlink ref="K8" r:id="rId2"/>
    <hyperlink ref="K9" r:id="rId3"/>
    <hyperlink ref="K10" r:id="rId4"/>
    <hyperlink ref="K11" r:id="rId5"/>
    <hyperlink ref="K12" r:id="rId6"/>
    <hyperlink ref="K13" r:id="rId7"/>
    <hyperlink ref="K14" r:id="rId8"/>
    <hyperlink ref="K15" r:id="rId9"/>
    <hyperlink ref="K16" r:id="rId10"/>
    <hyperlink ref="K17" r:id="rId11"/>
    <hyperlink ref="K18" r:id="rId12"/>
    <hyperlink ref="K19" r:id="rId13"/>
    <hyperlink ref="K20" r:id="rId14"/>
    <hyperlink ref="K21" r:id="rId15"/>
    <hyperlink ref="K22" r:id="rId16"/>
    <hyperlink ref="K23" r:id="rId17"/>
    <hyperlink ref="K24" r:id="rId18"/>
    <hyperlink ref="K25" r:id="rId19"/>
    <hyperlink ref="K26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Hitlist Pipeline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2026-08-23T14:10:09Z</dcterms:created>
  <dcterms:modified xsi:type="dcterms:W3CDTF">2026-08-23T14:10:09Z</dcterms:modified>
</cp:coreProperties>
</file>