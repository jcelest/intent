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-SHMONEY\Desktop\Intent\sales\"/>
    </mc:Choice>
  </mc:AlternateContent>
  <xr:revisionPtr revIDLastSave="0" documentId="13_ncr:1_{4B75986D-A233-44D5-ABF5-CB9746E7E78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itlist Pip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E4" i="1"/>
  <c r="I4" i="1" s="1"/>
  <c r="C4" i="1"/>
  <c r="A4" i="1"/>
</calcChain>
</file>

<file path=xl/sharedStrings.xml><?xml version="1.0" encoding="utf-8"?>
<sst xmlns="http://schemas.openxmlformats.org/spreadsheetml/2006/main" count="42" uniqueCount="41">
  <si>
    <t>INTENT LEADNET - PROSPECT HITLIST &amp; BOOKING PIPELINE</t>
  </si>
  <si>
    <t>TOTAL LEADS</t>
  </si>
  <si>
    <t>DEMOS BOOKED</t>
  </si>
  <si>
    <t>CALLS / SMS MADE</t>
  </si>
  <si>
    <t>RUNNING GOOGLE ADS</t>
  </si>
  <si>
    <t>CONVERSION RATE</t>
  </si>
  <si>
    <t>Status</t>
  </si>
  <si>
    <t>Priority Tier</t>
  </si>
  <si>
    <t>Company Name</t>
  </si>
  <si>
    <t>Trade</t>
  </si>
  <si>
    <t>City / Metro</t>
  </si>
  <si>
    <t>Owner / DM Name</t>
  </si>
  <si>
    <t>Direct / Cell Phone</t>
  </si>
  <si>
    <t>Office Phone</t>
  </si>
  <si>
    <t>Email</t>
  </si>
  <si>
    <t>Website</t>
  </si>
  <si>
    <t>Running Google Ads?</t>
  </si>
  <si>
    <t>Google Rating / Reviews</t>
  </si>
  <si>
    <t>Proof Hook / Review Pain Point</t>
  </si>
  <si>
    <t>Dial 1 Outcome</t>
  </si>
  <si>
    <t>Dial 2 Outcome</t>
  </si>
  <si>
    <t>Demo Booked Date</t>
  </si>
  <si>
    <t>Est. System Value</t>
  </si>
  <si>
    <t>Notes / Next Action</t>
  </si>
  <si>
    <t>Demo Booked</t>
  </si>
  <si>
    <t>A - High (Ads + Missed Calls)</t>
  </si>
  <si>
    <t>Novation Heating &amp; Air</t>
  </si>
  <si>
    <t>HVAC</t>
  </si>
  <si>
    <t>Orlando, FL</t>
  </si>
  <si>
    <t>https://novationhvac.com</t>
  </si>
  <si>
    <t>Yes</t>
  </si>
  <si>
    <t>2 weeks ago: "Called at 2pm on Saturday AC down, went to vm, no reply until Monday."</t>
  </si>
  <si>
    <t>8/23 - Left VM &amp; instant SMS</t>
  </si>
  <si>
    <t>8/24 - Mark answered, agreed to 10m review</t>
  </si>
  <si>
    <t>Tue 8/26 2:00 PM</t>
  </si>
  <si>
    <t>$8,500</t>
  </si>
  <si>
    <t>Showed live /leadnet dashboard, send agreement</t>
  </si>
  <si>
    <t>Jackson Gabriel</t>
  </si>
  <si>
    <t>info@novationhvac.com</t>
  </si>
  <si>
    <t>5 (240 reviews)</t>
  </si>
  <si>
    <t>(407) 973-1523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</si>
</sst>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22D3EE"/>
      <name val="Segoe UI"/>
      <family val="2"/>
    </font>
    <font>
      <b/>
      <sz val="11"/>
      <color rgb="FFFFFFFF"/>
      <name val="Segoe UI"/>
      <family val="2"/>
    </font>
    <font>
      <b/>
      <sz val="14"/>
      <color rgb="FF22D3EE"/>
      <name val="Segoe UI"/>
      <family val="2"/>
    </font>
    <font>
      <b/>
      <sz val="11"/>
      <color rgb="FF000000"/>
      <name val="Segoe UI"/>
      <family val="2"/>
    </font>
    <font>
      <b/>
      <sz val="10"/>
      <color rgb="FF065F46"/>
      <name val="Segoe UI"/>
      <family val="2"/>
    </font>
    <font>
      <sz val="10"/>
      <color rgb="FF1E293B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90D16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22D3E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7" borderId="4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novationhvac.com" TargetMode="External"/><Relationship Id="rId1" Type="http://schemas.openxmlformats.org/officeDocument/2006/relationships/hyperlink" Target="https://novationhv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4" sqref="F14"/>
    </sheetView>
  </sheetViews>
  <sheetFormatPr defaultRowHeight="15" x14ac:dyDescent="0.25"/>
  <cols>
    <col min="1" max="1" width="22.7109375" customWidth="1"/>
    <col min="2" max="3" width="26.7109375" customWidth="1"/>
    <col min="4" max="4" width="14.7109375" customWidth="1"/>
    <col min="5" max="5" width="18.7109375" customWidth="1"/>
    <col min="6" max="6" width="20.7109375" customWidth="1"/>
    <col min="7" max="8" width="18.7109375" customWidth="1"/>
    <col min="9" max="10" width="24.7109375" customWidth="1"/>
    <col min="11" max="11" width="18.7109375" customWidth="1"/>
    <col min="12" max="12" width="22.7109375" customWidth="1"/>
    <col min="13" max="13" width="103.140625" customWidth="1"/>
    <col min="14" max="14" width="60" customWidth="1"/>
    <col min="15" max="15" width="54.7109375" customWidth="1"/>
    <col min="16" max="16" width="39.7109375" customWidth="1"/>
    <col min="17" max="17" width="16.7109375" customWidth="1"/>
    <col min="18" max="18" width="43.5703125" customWidth="1"/>
  </cols>
  <sheetData>
    <row r="1" spans="1:18" ht="32.1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16.5" x14ac:dyDescent="0.25">
      <c r="A3" s="5" t="s">
        <v>1</v>
      </c>
      <c r="B3" s="5"/>
      <c r="C3" s="5" t="s">
        <v>2</v>
      </c>
      <c r="D3" s="5"/>
      <c r="E3" s="5" t="s">
        <v>3</v>
      </c>
      <c r="F3" s="5"/>
      <c r="G3" s="5" t="s">
        <v>4</v>
      </c>
      <c r="H3" s="5"/>
      <c r="I3" s="5" t="s">
        <v>5</v>
      </c>
      <c r="J3" s="5"/>
    </row>
    <row r="4" spans="1:18" ht="20.25" x14ac:dyDescent="0.25">
      <c r="A4" s="6">
        <f>COUNTA(C7:C196)</f>
        <v>1</v>
      </c>
      <c r="B4" s="6"/>
      <c r="C4" s="6">
        <f>COUNTIF(A7:A196, "Demo Booked")</f>
        <v>1</v>
      </c>
      <c r="D4" s="6"/>
      <c r="E4" s="6">
        <f>COUNTIF(A7:A196, "&lt;&gt;Not Contacted") - COUNTBLANK(A7:A196)</f>
        <v>1</v>
      </c>
      <c r="F4" s="6"/>
      <c r="G4" s="6">
        <f>COUNTIF(K7:K196, "Yes")</f>
        <v>1</v>
      </c>
      <c r="H4" s="6"/>
      <c r="I4" s="6">
        <f>IF(E4&gt;0, C4/E4, 0)</f>
        <v>1</v>
      </c>
      <c r="J4" s="6"/>
    </row>
    <row r="6" spans="1:18" ht="27.95" customHeight="1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</row>
    <row r="7" spans="1:18" ht="21.95" customHeight="1" x14ac:dyDescent="0.25">
      <c r="A7" s="2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37</v>
      </c>
      <c r="G7" s="3" t="s">
        <v>40</v>
      </c>
      <c r="H7" s="3" t="s">
        <v>40</v>
      </c>
      <c r="I7" s="7" t="s">
        <v>38</v>
      </c>
      <c r="J7" s="3" t="s">
        <v>29</v>
      </c>
      <c r="K7" s="3" t="s">
        <v>30</v>
      </c>
      <c r="L7" s="3" t="s">
        <v>39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36</v>
      </c>
    </row>
  </sheetData>
  <mergeCells count="11">
    <mergeCell ref="A1:R1"/>
    <mergeCell ref="A3:B3"/>
    <mergeCell ref="A4:B4"/>
    <mergeCell ref="C3:D3"/>
    <mergeCell ref="C4:D4"/>
    <mergeCell ref="E3:F3"/>
    <mergeCell ref="E4:F4"/>
    <mergeCell ref="G3:H3"/>
    <mergeCell ref="G4:H4"/>
    <mergeCell ref="I3:J3"/>
    <mergeCell ref="I4:J4"/>
  </mergeCells>
  <dataValidations count="3">
    <dataValidation type="list" allowBlank="1" showInputMessage="1" showErrorMessage="1" sqref="A7:A196" xr:uid="{00000000-0002-0000-0000-000000000000}">
      <formula1>"Not Contacted,Called - No Answer,SMS Sent,Gatekeeper / Callback,Demo Booked,Follow-up,Closed Won,Disqualified"</formula1>
    </dataValidation>
    <dataValidation type="list" allowBlank="1" showInputMessage="1" showErrorMessage="1" sqref="B7:B196" xr:uid="{00000000-0002-0000-0000-000001000000}">
      <formula1>"A - High (Ads + Missed Calls),B - Medium (High Volume),C - Standard Contractor"</formula1>
    </dataValidation>
    <dataValidation type="list" allowBlank="1" showInputMessage="1" showErrorMessage="1" sqref="K7:K196" xr:uid="{00000000-0002-0000-0000-000002000000}">
      <formula1>"Yes,No"</formula1>
    </dataValidation>
  </dataValidations>
  <hyperlinks>
    <hyperlink ref="J7" r:id="rId1" xr:uid="{00000000-0004-0000-0000-000000000000}"/>
    <hyperlink ref="I7" r:id="rId2" xr:uid="{8760D971-EF5B-4071-BC09-41BD93C846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Hitlist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Celestin</cp:lastModifiedBy>
  <dcterms:created xsi:type="dcterms:W3CDTF">2026-08-23T13:11:31Z</dcterms:created>
  <dcterms:modified xsi:type="dcterms:W3CDTF">2026-08-23T13:16:16Z</dcterms:modified>
</cp:coreProperties>
</file>